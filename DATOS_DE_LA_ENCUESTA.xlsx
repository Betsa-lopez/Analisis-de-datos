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7.xml" ContentType="application/vnd.openxmlformats-officedocument.drawing+xml"/>
  <Override PartName="/xl/tables/table14.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tables/table15.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6.xml" ContentType="application/vnd.openxmlformats-officedocument.spreadsheetml.table+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etsa\Desktop\IMPACTO COGNITIVO\DOCUMENTO ORIGINAL\ARTICULO CON MUESTRA MAYOR\"/>
    </mc:Choice>
  </mc:AlternateContent>
  <xr:revisionPtr revIDLastSave="0" documentId="13_ncr:1_{52CBA7B0-56C5-4456-AF34-1F02AA7D7A01}" xr6:coauthVersionLast="47" xr6:coauthVersionMax="47" xr10:uidLastSave="{00000000-0000-0000-0000-000000000000}"/>
  <bookViews>
    <workbookView xWindow="-120" yWindow="-120" windowWidth="20730" windowHeight="11040" firstSheet="2" activeTab="2" xr2:uid="{00000000-000D-0000-FFFF-FFFF00000000}"/>
  </bookViews>
  <sheets>
    <sheet name="Hoja10" sheetId="11" state="hidden" r:id="rId1"/>
    <sheet name="Respuestas de formulario 1" sheetId="1" r:id="rId2"/>
    <sheet name="HIPOTESIS 1" sheetId="16" r:id="rId3"/>
    <sheet name="REACTIVO 1" sheetId="21" r:id="rId4"/>
    <sheet name="REACTIVO 2" sheetId="19" r:id="rId5"/>
    <sheet name="REACTIVO 3" sheetId="20" r:id="rId6"/>
    <sheet name="REACTIVO 4" sheetId="17" r:id="rId7"/>
    <sheet name="REACTIVO 5" sheetId="18" r:id="rId8"/>
    <sheet name="REACTIVO 6" sheetId="2" r:id="rId9"/>
    <sheet name="REACTIVO 7" sheetId="3" r:id="rId10"/>
    <sheet name="REACTIVO 8" sheetId="4" r:id="rId11"/>
    <sheet name="REACTIVO 9" sheetId="5" r:id="rId12"/>
    <sheet name="REACTIVO 10" sheetId="6" r:id="rId13"/>
    <sheet name="REACTIVO 11" sheetId="7" r:id="rId14"/>
    <sheet name="REACTIVO 12" sheetId="8" r:id="rId15"/>
    <sheet name="REACTIVO 13" sheetId="9" r:id="rId16"/>
    <sheet name="REACTIVO 14" sheetId="10" r:id="rId17"/>
    <sheet name="REACTIVO 15" sheetId="12" r:id="rId18"/>
    <sheet name="REACTIVO 16" sheetId="13" r:id="rId19"/>
    <sheet name="TABLA 1" sheetId="14" r:id="rId20"/>
    <sheet name="FRECUENCIA" sheetId="15" r:id="rId21"/>
  </sheets>
  <externalReferences>
    <externalReference r:id="rId22"/>
    <externalReference r:id="rId23"/>
    <externalReference r:id="rId2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20" l="1"/>
  <c r="G6" i="21"/>
  <c r="G7" i="21"/>
  <c r="G8" i="21"/>
  <c r="G9" i="21"/>
  <c r="G10" i="21"/>
  <c r="G11" i="21"/>
  <c r="G12" i="21"/>
  <c r="G13" i="21"/>
  <c r="G5" i="21"/>
  <c r="G5" i="19"/>
  <c r="F7" i="21"/>
  <c r="F8" i="21" s="1"/>
  <c r="F9" i="21" s="1"/>
  <c r="F10" i="21" s="1"/>
  <c r="F11" i="21" s="1"/>
  <c r="F12" i="21" s="1"/>
  <c r="F13" i="21" s="1"/>
  <c r="F6" i="21"/>
  <c r="F6" i="19"/>
  <c r="G6" i="19" s="1"/>
  <c r="E14" i="21"/>
  <c r="D14" i="21"/>
  <c r="E6" i="21"/>
  <c r="E7" i="21"/>
  <c r="E8" i="21"/>
  <c r="E9" i="21"/>
  <c r="E10" i="21"/>
  <c r="E11" i="21"/>
  <c r="E12" i="21"/>
  <c r="E13" i="21"/>
  <c r="E5" i="21"/>
  <c r="D6" i="21"/>
  <c r="D7" i="21"/>
  <c r="D8" i="21"/>
  <c r="D9" i="21"/>
  <c r="D10" i="21"/>
  <c r="D11" i="21"/>
  <c r="D12" i="21"/>
  <c r="D13" i="21"/>
  <c r="D5" i="21"/>
  <c r="G6" i="20"/>
  <c r="G7" i="20"/>
  <c r="G8" i="20"/>
  <c r="G5" i="20"/>
  <c r="F7" i="20"/>
  <c r="F8" i="20" s="1"/>
  <c r="F6" i="20"/>
  <c r="E9" i="20"/>
  <c r="E6" i="20"/>
  <c r="E7" i="20"/>
  <c r="E8" i="20"/>
  <c r="E5" i="20"/>
  <c r="D9" i="20"/>
  <c r="D6" i="20"/>
  <c r="D7" i="20"/>
  <c r="D5" i="20"/>
  <c r="G5" i="18"/>
  <c r="F7" i="19"/>
  <c r="G7" i="19" s="1"/>
  <c r="F6" i="18"/>
  <c r="G6" i="17"/>
  <c r="E8" i="19"/>
  <c r="E6" i="19"/>
  <c r="E7" i="19"/>
  <c r="F6" i="17"/>
  <c r="F5" i="17"/>
  <c r="E5" i="19"/>
  <c r="D8" i="19"/>
  <c r="D7" i="19"/>
  <c r="D6" i="19"/>
  <c r="D5" i="19"/>
  <c r="G6" i="18"/>
  <c r="H6" i="17"/>
  <c r="H5" i="17"/>
  <c r="F7" i="18"/>
  <c r="G7" i="18" s="1"/>
  <c r="F8" i="18"/>
  <c r="G8" i="18" s="1"/>
  <c r="E9" i="18"/>
  <c r="E6" i="18"/>
  <c r="E7" i="18"/>
  <c r="E8" i="18"/>
  <c r="E5" i="18"/>
  <c r="D9" i="18"/>
  <c r="D6" i="18"/>
  <c r="D7" i="18"/>
  <c r="D8" i="18"/>
  <c r="D5" i="18"/>
  <c r="F11" i="17"/>
  <c r="F7" i="17"/>
  <c r="F8" i="17"/>
  <c r="F9" i="17"/>
  <c r="F10" i="17"/>
  <c r="E6" i="17"/>
  <c r="E11" i="17"/>
  <c r="E7" i="17"/>
  <c r="E8" i="17"/>
  <c r="E9" i="17"/>
  <c r="E10" i="17"/>
  <c r="E5" i="17"/>
  <c r="S16" i="16"/>
  <c r="AG21" i="16"/>
  <c r="AG22" i="16"/>
  <c r="AG23" i="16"/>
  <c r="AG24" i="16"/>
  <c r="AG25" i="16"/>
  <c r="AG26" i="16"/>
  <c r="AG27" i="16"/>
  <c r="AG28" i="16"/>
  <c r="AG29" i="16"/>
  <c r="AG30" i="16"/>
  <c r="AG31" i="16"/>
  <c r="AG32" i="16"/>
  <c r="AG33" i="16"/>
  <c r="AG34" i="16"/>
  <c r="AG35" i="16"/>
  <c r="AG36" i="16"/>
  <c r="AG37" i="16"/>
  <c r="AG38" i="16"/>
  <c r="AG39" i="16"/>
  <c r="AG40" i="16"/>
  <c r="AG41" i="16"/>
  <c r="AG42" i="16"/>
  <c r="AG43" i="16"/>
  <c r="AG44" i="16"/>
  <c r="AG45" i="16"/>
  <c r="AG46" i="16"/>
  <c r="AG47" i="16"/>
  <c r="AG48" i="16"/>
  <c r="AG49" i="16"/>
  <c r="AG50" i="16"/>
  <c r="AG51" i="16"/>
  <c r="AG52" i="16"/>
  <c r="AG53" i="16"/>
  <c r="AG54" i="16"/>
  <c r="AG55" i="16"/>
  <c r="AG56" i="16"/>
  <c r="AG18" i="16"/>
  <c r="AG19" i="16"/>
  <c r="AG20" i="16"/>
  <c r="AG17" i="16"/>
  <c r="L11"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2" i="16"/>
  <c r="L13" i="16"/>
  <c r="H5" i="16"/>
  <c r="H6" i="16"/>
  <c r="B8" i="16"/>
  <c r="E2" i="13"/>
  <c r="E3" i="13"/>
  <c r="E4" i="13"/>
  <c r="E5" i="13"/>
  <c r="E6" i="13"/>
  <c r="E7" i="13"/>
  <c r="E8" i="13"/>
  <c r="E9" i="13"/>
  <c r="E2" i="12"/>
  <c r="E3" i="12"/>
  <c r="E4" i="12"/>
  <c r="E5" i="12"/>
  <c r="E6" i="12"/>
  <c r="E7" i="12"/>
  <c r="E8" i="12"/>
  <c r="E9" i="12"/>
  <c r="E10" i="12"/>
  <c r="G106" i="15"/>
  <c r="D106" i="15"/>
  <c r="E105" i="15"/>
  <c r="D105" i="15"/>
  <c r="E104" i="15"/>
  <c r="D104" i="15"/>
  <c r="E103" i="15"/>
  <c r="D103" i="15"/>
  <c r="F102" i="15"/>
  <c r="E102" i="15"/>
  <c r="D102" i="15"/>
  <c r="G101" i="15"/>
  <c r="E101" i="15"/>
  <c r="E106" i="15" s="1"/>
  <c r="D101" i="15"/>
  <c r="C106" i="15"/>
  <c r="G95" i="15"/>
  <c r="E94" i="15"/>
  <c r="D94" i="15"/>
  <c r="E93" i="15"/>
  <c r="D93" i="15"/>
  <c r="E92" i="15"/>
  <c r="D92" i="15"/>
  <c r="F91" i="15"/>
  <c r="E91" i="15"/>
  <c r="D91" i="15"/>
  <c r="G90" i="15"/>
  <c r="E90" i="15"/>
  <c r="E95" i="15" s="1"/>
  <c r="D90" i="15"/>
  <c r="D95" i="15" s="1"/>
  <c r="C95" i="15"/>
  <c r="G84" i="15"/>
  <c r="E83" i="15"/>
  <c r="D83" i="15"/>
  <c r="E82" i="15"/>
  <c r="D82" i="15"/>
  <c r="E81" i="15"/>
  <c r="D81" i="15"/>
  <c r="F80" i="15"/>
  <c r="E80" i="15"/>
  <c r="D80" i="15"/>
  <c r="G79" i="15"/>
  <c r="E79" i="15"/>
  <c r="E84" i="15" s="1"/>
  <c r="D79" i="15"/>
  <c r="D84" i="15" s="1"/>
  <c r="C84" i="15"/>
  <c r="G73" i="15"/>
  <c r="E72" i="15"/>
  <c r="D72" i="15"/>
  <c r="E71" i="15"/>
  <c r="D71" i="15"/>
  <c r="E70" i="15"/>
  <c r="D70" i="15"/>
  <c r="F69" i="15"/>
  <c r="E69" i="15"/>
  <c r="D69" i="15"/>
  <c r="G68" i="15"/>
  <c r="E68" i="15"/>
  <c r="E73" i="15" s="1"/>
  <c r="D68" i="15"/>
  <c r="D73" i="15" s="1"/>
  <c r="C73" i="15"/>
  <c r="G59" i="15"/>
  <c r="E58" i="15"/>
  <c r="D58" i="15"/>
  <c r="E57" i="15"/>
  <c r="D57" i="15"/>
  <c r="E56" i="15"/>
  <c r="D56" i="15"/>
  <c r="F55" i="15"/>
  <c r="E55" i="15"/>
  <c r="D55" i="15"/>
  <c r="G54" i="15"/>
  <c r="E54" i="15"/>
  <c r="E59" i="15" s="1"/>
  <c r="D54" i="15"/>
  <c r="D59" i="15" s="1"/>
  <c r="C59" i="15"/>
  <c r="G47" i="15"/>
  <c r="E46" i="15"/>
  <c r="D46" i="15"/>
  <c r="E45" i="15"/>
  <c r="D45" i="15"/>
  <c r="E44" i="15"/>
  <c r="D44" i="15"/>
  <c r="F43" i="15"/>
  <c r="E43" i="15"/>
  <c r="D43" i="15"/>
  <c r="G42" i="15"/>
  <c r="E42" i="15"/>
  <c r="E47" i="15" s="1"/>
  <c r="D42" i="15"/>
  <c r="D47" i="15" s="1"/>
  <c r="C47" i="15"/>
  <c r="E33" i="15"/>
  <c r="E32" i="15"/>
  <c r="E31" i="15"/>
  <c r="F30" i="15"/>
  <c r="E30" i="15"/>
  <c r="E29" i="15"/>
  <c r="D29" i="15"/>
  <c r="C34" i="15"/>
  <c r="G21" i="15"/>
  <c r="G16" i="15"/>
  <c r="F17" i="15"/>
  <c r="E20" i="15"/>
  <c r="E19" i="15"/>
  <c r="E18" i="15"/>
  <c r="E17" i="15"/>
  <c r="E16" i="15"/>
  <c r="E21" i="15" s="1"/>
  <c r="D20" i="15"/>
  <c r="D19" i="15"/>
  <c r="D18" i="15"/>
  <c r="D17" i="15"/>
  <c r="D16" i="15"/>
  <c r="D21" i="15" s="1"/>
  <c r="D3" i="15"/>
  <c r="D8" i="15" s="1"/>
  <c r="D4" i="15"/>
  <c r="D5" i="15"/>
  <c r="D6" i="15"/>
  <c r="D7" i="15"/>
  <c r="C21" i="15"/>
  <c r="F4" i="15"/>
  <c r="E3" i="15"/>
  <c r="E8" i="15" s="1"/>
  <c r="E4" i="15"/>
  <c r="E5" i="15"/>
  <c r="E6" i="15"/>
  <c r="E7" i="15"/>
  <c r="C8" i="15"/>
  <c r="B12" i="5"/>
  <c r="B13" i="4"/>
  <c r="B15" i="4" s="1"/>
  <c r="B14" i="10"/>
  <c r="B12" i="10"/>
  <c r="G14" i="10"/>
  <c r="G12" i="10"/>
  <c r="I10" i="10"/>
  <c r="G9" i="10"/>
  <c r="B12" i="9"/>
  <c r="B14" i="9"/>
  <c r="G14" i="9"/>
  <c r="G12" i="9"/>
  <c r="I10" i="9"/>
  <c r="G9" i="9"/>
  <c r="B12" i="8"/>
  <c r="B12" i="6"/>
  <c r="B14" i="6" s="1"/>
  <c r="B12" i="7"/>
  <c r="B14" i="7" s="1"/>
  <c r="B14" i="8"/>
  <c r="G15" i="8"/>
  <c r="G13" i="8"/>
  <c r="G10" i="8"/>
  <c r="I11" i="8"/>
  <c r="G14" i="7"/>
  <c r="G12" i="7"/>
  <c r="I10" i="7"/>
  <c r="G9" i="7"/>
  <c r="G14" i="6"/>
  <c r="G12" i="6"/>
  <c r="I10" i="6"/>
  <c r="G9" i="6"/>
  <c r="B14" i="5"/>
  <c r="G9" i="5"/>
  <c r="G14" i="5"/>
  <c r="G12" i="5"/>
  <c r="I10" i="5"/>
  <c r="I10" i="4"/>
  <c r="G14" i="4"/>
  <c r="G12" i="4"/>
  <c r="G9" i="4"/>
  <c r="B15" i="3"/>
  <c r="B16" i="2"/>
  <c r="B12" i="3"/>
  <c r="B12" i="2"/>
  <c r="I10" i="3"/>
  <c r="G14" i="3"/>
  <c r="G12" i="3"/>
  <c r="G9" i="3"/>
  <c r="G5" i="3"/>
  <c r="I8" i="2"/>
  <c r="G12" i="2"/>
  <c r="G10" i="2"/>
  <c r="G7" i="2"/>
  <c r="G2" i="4"/>
  <c r="C9" i="13"/>
  <c r="C10" i="12"/>
  <c r="B7" i="10"/>
  <c r="C6" i="10"/>
  <c r="C5" i="10"/>
  <c r="D4" i="10"/>
  <c r="C4" i="10"/>
  <c r="D3" i="10"/>
  <c r="C3" i="10"/>
  <c r="D2" i="10"/>
  <c r="C2" i="10"/>
  <c r="G2" i="10" s="1"/>
  <c r="B7" i="9"/>
  <c r="C6" i="9"/>
  <c r="C5" i="9"/>
  <c r="C4" i="9"/>
  <c r="C3" i="9"/>
  <c r="C2" i="9"/>
  <c r="B7" i="8"/>
  <c r="D3" i="8" s="1"/>
  <c r="C6" i="8"/>
  <c r="C5" i="8"/>
  <c r="C4" i="8"/>
  <c r="C3" i="8"/>
  <c r="D2" i="8"/>
  <c r="C2" i="8"/>
  <c r="B7" i="7"/>
  <c r="C6" i="7"/>
  <c r="C5" i="7"/>
  <c r="D4" i="7"/>
  <c r="C4" i="7"/>
  <c r="D3" i="7"/>
  <c r="C3" i="7"/>
  <c r="D2" i="7"/>
  <c r="C2" i="7"/>
  <c r="B7" i="6"/>
  <c r="C6" i="6"/>
  <c r="C5" i="6"/>
  <c r="C4" i="6"/>
  <c r="C3" i="6"/>
  <c r="C2" i="6"/>
  <c r="G2" i="6" s="1"/>
  <c r="G3" i="6" s="1"/>
  <c r="A12" i="6" s="1" a="1"/>
  <c r="A12" i="6" s="1"/>
  <c r="B7" i="5"/>
  <c r="C6" i="5"/>
  <c r="C5" i="5"/>
  <c r="C4" i="5"/>
  <c r="C3" i="5"/>
  <c r="C2" i="5"/>
  <c r="G2" i="5" s="1"/>
  <c r="B7" i="4"/>
  <c r="C6" i="4"/>
  <c r="C5" i="4"/>
  <c r="C4" i="4"/>
  <c r="C3" i="4"/>
  <c r="C2" i="4"/>
  <c r="B7" i="3"/>
  <c r="D6" i="3" s="1"/>
  <c r="C6" i="3"/>
  <c r="C5" i="3"/>
  <c r="C4" i="3"/>
  <c r="C3" i="3"/>
  <c r="C2" i="3"/>
  <c r="G2" i="2"/>
  <c r="C2" i="2"/>
  <c r="C3" i="2"/>
  <c r="C4" i="2"/>
  <c r="C5" i="2"/>
  <c r="C6" i="2"/>
  <c r="B7" i="2"/>
  <c r="G7" i="17" l="1"/>
  <c r="H7" i="17"/>
  <c r="G8" i="17"/>
  <c r="G9" i="17" s="1"/>
  <c r="H8" i="17"/>
  <c r="AG57" i="16"/>
  <c r="L143" i="16"/>
  <c r="O143" i="16" s="1"/>
  <c r="M11" i="16" s="1"/>
  <c r="N11" i="16" s="1"/>
  <c r="D4" i="13"/>
  <c r="D3" i="13"/>
  <c r="D8" i="13"/>
  <c r="D2" i="13"/>
  <c r="D5" i="13"/>
  <c r="D6" i="13"/>
  <c r="D7" i="13"/>
  <c r="D9" i="13"/>
  <c r="D4" i="12"/>
  <c r="D5" i="12"/>
  <c r="D7" i="12"/>
  <c r="D8" i="12"/>
  <c r="D9" i="12"/>
  <c r="D10" i="12"/>
  <c r="D6" i="12"/>
  <c r="D2" i="12"/>
  <c r="D3" i="12"/>
  <c r="F103" i="15"/>
  <c r="G102" i="15"/>
  <c r="F92" i="15"/>
  <c r="G91" i="15"/>
  <c r="F81" i="15"/>
  <c r="G80" i="15"/>
  <c r="G69" i="15"/>
  <c r="F70" i="15"/>
  <c r="F56" i="15"/>
  <c r="G55" i="15"/>
  <c r="G43" i="15"/>
  <c r="F44" i="15"/>
  <c r="E34" i="15"/>
  <c r="G17" i="15"/>
  <c r="F18" i="15"/>
  <c r="G34" i="15"/>
  <c r="D33" i="15"/>
  <c r="D32" i="15"/>
  <c r="D31" i="15"/>
  <c r="D30" i="15"/>
  <c r="D34" i="15" s="1"/>
  <c r="G29" i="15"/>
  <c r="F31" i="15"/>
  <c r="G30" i="15"/>
  <c r="F5" i="15"/>
  <c r="G4" i="15"/>
  <c r="G8" i="15"/>
  <c r="G3" i="15"/>
  <c r="G3" i="10"/>
  <c r="A12" i="10" s="1" a="1"/>
  <c r="A12" i="10" s="1"/>
  <c r="D3" i="9"/>
  <c r="D2" i="9"/>
  <c r="G2" i="9"/>
  <c r="G3" i="9" s="1"/>
  <c r="A12" i="9" s="1" a="1"/>
  <c r="A12" i="9" s="1"/>
  <c r="G3" i="2"/>
  <c r="G3" i="5"/>
  <c r="A12" i="5" s="1" a="1"/>
  <c r="A12" i="5" s="1"/>
  <c r="G2" i="7"/>
  <c r="G3" i="7" s="1"/>
  <c r="A12" i="7" s="1" a="1"/>
  <c r="A12" i="7" s="1"/>
  <c r="D7" i="10"/>
  <c r="D6" i="10"/>
  <c r="D5" i="10"/>
  <c r="D5" i="9"/>
  <c r="D4" i="9"/>
  <c r="D6" i="9"/>
  <c r="D7" i="9"/>
  <c r="D5" i="8"/>
  <c r="D4" i="8"/>
  <c r="G2" i="8"/>
  <c r="G3" i="8" s="1"/>
  <c r="A12" i="8" s="1" a="1"/>
  <c r="A12" i="8" s="1"/>
  <c r="D7" i="8"/>
  <c r="D6" i="8"/>
  <c r="D7" i="7"/>
  <c r="D6" i="7"/>
  <c r="D5" i="7"/>
  <c r="D6" i="6"/>
  <c r="D5" i="6"/>
  <c r="D4" i="6"/>
  <c r="D7" i="6"/>
  <c r="D3" i="6"/>
  <c r="D2" i="6"/>
  <c r="D6" i="5"/>
  <c r="D3" i="5"/>
  <c r="D5" i="5"/>
  <c r="D4" i="5"/>
  <c r="D7" i="5"/>
  <c r="D2" i="5"/>
  <c r="G3" i="4"/>
  <c r="D7" i="4"/>
  <c r="D4" i="4"/>
  <c r="D3" i="4"/>
  <c r="D6" i="4"/>
  <c r="D5" i="4"/>
  <c r="D2" i="4"/>
  <c r="G2" i="3"/>
  <c r="G3" i="3" s="1"/>
  <c r="A12" i="3" s="1" a="1"/>
  <c r="A12" i="3" s="1"/>
  <c r="D7" i="3"/>
  <c r="D5" i="3"/>
  <c r="D4" i="3"/>
  <c r="D3" i="3"/>
  <c r="D2" i="3"/>
  <c r="A12" i="2" a="1"/>
  <c r="A12" i="2" s="1"/>
  <c r="D2" i="2"/>
  <c r="D3" i="2"/>
  <c r="D4" i="2"/>
  <c r="D5" i="2"/>
  <c r="D6" i="2"/>
  <c r="D7" i="2"/>
  <c r="G10" i="17" l="1"/>
  <c r="H10" i="17" s="1"/>
  <c r="H9" i="17"/>
  <c r="AK57" i="16"/>
  <c r="AL17" i="16"/>
  <c r="G103" i="15"/>
  <c r="F104" i="15"/>
  <c r="G92" i="15"/>
  <c r="F93" i="15"/>
  <c r="G81" i="15"/>
  <c r="F82" i="15"/>
  <c r="G70" i="15"/>
  <c r="F71" i="15"/>
  <c r="F57" i="15"/>
  <c r="G56" i="15"/>
  <c r="G44" i="15"/>
  <c r="F45" i="15"/>
  <c r="F19" i="15"/>
  <c r="G18" i="15"/>
  <c r="F32" i="15"/>
  <c r="G31" i="15"/>
  <c r="G5" i="15"/>
  <c r="F6" i="15"/>
  <c r="A13" i="4" a="1"/>
  <c r="A13" i="4" s="1"/>
  <c r="AH21" i="16" l="1"/>
  <c r="AI21" i="16" s="1"/>
  <c r="AH25" i="16"/>
  <c r="AI25" i="16" s="1"/>
  <c r="AH35" i="16"/>
  <c r="AI35" i="16" s="1"/>
  <c r="AH43" i="16"/>
  <c r="AI43" i="16" s="1"/>
  <c r="AH20" i="16"/>
  <c r="AI20" i="16" s="1"/>
  <c r="AH29" i="16"/>
  <c r="AI29" i="16" s="1"/>
  <c r="AH33" i="16"/>
  <c r="AI33" i="16" s="1"/>
  <c r="AH37" i="16"/>
  <c r="AI37" i="16" s="1"/>
  <c r="AH41" i="16"/>
  <c r="AI41" i="16" s="1"/>
  <c r="AH45" i="16"/>
  <c r="AI45" i="16" s="1"/>
  <c r="AH49" i="16"/>
  <c r="AI49" i="16" s="1"/>
  <c r="AH53" i="16"/>
  <c r="AI53" i="16" s="1"/>
  <c r="AH18" i="16"/>
  <c r="AI18" i="16" s="1"/>
  <c r="AH31" i="16"/>
  <c r="AI31" i="16" s="1"/>
  <c r="AH47" i="16"/>
  <c r="AI47" i="16" s="1"/>
  <c r="AH55" i="16"/>
  <c r="AI55" i="16" s="1"/>
  <c r="AH27" i="16"/>
  <c r="AI27" i="16" s="1"/>
  <c r="AH39" i="16"/>
  <c r="AI39" i="16" s="1"/>
  <c r="AH51" i="16"/>
  <c r="AI51" i="16" s="1"/>
  <c r="AH24" i="16"/>
  <c r="AI24" i="16" s="1"/>
  <c r="AH52" i="16"/>
  <c r="AI52" i="16" s="1"/>
  <c r="AH36" i="16"/>
  <c r="AI36" i="16" s="1"/>
  <c r="AH19" i="16"/>
  <c r="AI19" i="16" s="1"/>
  <c r="AH42" i="16"/>
  <c r="AI42" i="16" s="1"/>
  <c r="AH26" i="16"/>
  <c r="AI26" i="16" s="1"/>
  <c r="AH54" i="16"/>
  <c r="AI54" i="16" s="1"/>
  <c r="AH22" i="16"/>
  <c r="AI22" i="16" s="1"/>
  <c r="AH44" i="16"/>
  <c r="AI44" i="16" s="1"/>
  <c r="AH28" i="16"/>
  <c r="AI28" i="16" s="1"/>
  <c r="AH50" i="16"/>
  <c r="AI50" i="16" s="1"/>
  <c r="AH34" i="16"/>
  <c r="AI34" i="16" s="1"/>
  <c r="AH56" i="16"/>
  <c r="AI56" i="16" s="1"/>
  <c r="AH40" i="16"/>
  <c r="AI40" i="16" s="1"/>
  <c r="AH23" i="16"/>
  <c r="AI23" i="16" s="1"/>
  <c r="AH46" i="16"/>
  <c r="AI46" i="16" s="1"/>
  <c r="AH30" i="16"/>
  <c r="AI30" i="16" s="1"/>
  <c r="AH17" i="16"/>
  <c r="AH48" i="16"/>
  <c r="AI48" i="16" s="1"/>
  <c r="AH32" i="16"/>
  <c r="AI32" i="16" s="1"/>
  <c r="AH38" i="16"/>
  <c r="AI38" i="16" s="1"/>
  <c r="M19" i="16"/>
  <c r="N19" i="16" s="1"/>
  <c r="M23" i="16"/>
  <c r="N23" i="16" s="1"/>
  <c r="M27" i="16"/>
  <c r="N27" i="16" s="1"/>
  <c r="M31" i="16"/>
  <c r="N31" i="16" s="1"/>
  <c r="M35" i="16"/>
  <c r="N35" i="16" s="1"/>
  <c r="M39" i="16"/>
  <c r="N39" i="16" s="1"/>
  <c r="M43" i="16"/>
  <c r="N43" i="16" s="1"/>
  <c r="M47" i="16"/>
  <c r="N47" i="16" s="1"/>
  <c r="M51" i="16"/>
  <c r="N51" i="16" s="1"/>
  <c r="M55" i="16"/>
  <c r="N55" i="16" s="1"/>
  <c r="M59" i="16"/>
  <c r="N59" i="16" s="1"/>
  <c r="M63" i="16"/>
  <c r="N63" i="16" s="1"/>
  <c r="M67" i="16"/>
  <c r="N67" i="16" s="1"/>
  <c r="M71" i="16"/>
  <c r="N71" i="16" s="1"/>
  <c r="M75" i="16"/>
  <c r="N75" i="16" s="1"/>
  <c r="M79" i="16"/>
  <c r="N79" i="16" s="1"/>
  <c r="M83" i="16"/>
  <c r="N83" i="16" s="1"/>
  <c r="M87" i="16"/>
  <c r="N87" i="16" s="1"/>
  <c r="M91" i="16"/>
  <c r="N91" i="16" s="1"/>
  <c r="M95" i="16"/>
  <c r="N95" i="16" s="1"/>
  <c r="M99" i="16"/>
  <c r="N99" i="16" s="1"/>
  <c r="M103" i="16"/>
  <c r="N103" i="16" s="1"/>
  <c r="M107" i="16"/>
  <c r="N107" i="16" s="1"/>
  <c r="M111" i="16"/>
  <c r="N111" i="16" s="1"/>
  <c r="M115" i="16"/>
  <c r="N115" i="16" s="1"/>
  <c r="M119" i="16"/>
  <c r="N119" i="16" s="1"/>
  <c r="M123" i="16"/>
  <c r="N123" i="16" s="1"/>
  <c r="M127" i="16"/>
  <c r="N127" i="16" s="1"/>
  <c r="M131" i="16"/>
  <c r="N131" i="16" s="1"/>
  <c r="M135" i="16"/>
  <c r="N135" i="16" s="1"/>
  <c r="M139" i="16"/>
  <c r="N139" i="16" s="1"/>
  <c r="M30" i="16"/>
  <c r="N30" i="16" s="1"/>
  <c r="M38" i="16"/>
  <c r="N38" i="16" s="1"/>
  <c r="M46" i="16"/>
  <c r="N46" i="16" s="1"/>
  <c r="M54" i="16"/>
  <c r="N54" i="16" s="1"/>
  <c r="M62" i="16"/>
  <c r="N62" i="16" s="1"/>
  <c r="M74" i="16"/>
  <c r="N74" i="16" s="1"/>
  <c r="M82" i="16"/>
  <c r="N82" i="16" s="1"/>
  <c r="M90" i="16"/>
  <c r="N90" i="16" s="1"/>
  <c r="M102" i="16"/>
  <c r="N102" i="16" s="1"/>
  <c r="M118" i="16"/>
  <c r="N118" i="16" s="1"/>
  <c r="M130" i="16"/>
  <c r="N130" i="16" s="1"/>
  <c r="M138" i="16"/>
  <c r="N138" i="16" s="1"/>
  <c r="M20" i="16"/>
  <c r="N20" i="16" s="1"/>
  <c r="M24" i="16"/>
  <c r="N24" i="16" s="1"/>
  <c r="M28" i="16"/>
  <c r="N28" i="16" s="1"/>
  <c r="M32" i="16"/>
  <c r="N32" i="16" s="1"/>
  <c r="M36" i="16"/>
  <c r="N36" i="16" s="1"/>
  <c r="M40" i="16"/>
  <c r="N40" i="16" s="1"/>
  <c r="M44" i="16"/>
  <c r="N44" i="16" s="1"/>
  <c r="M48" i="16"/>
  <c r="N48" i="16" s="1"/>
  <c r="M52" i="16"/>
  <c r="N52" i="16" s="1"/>
  <c r="M56" i="16"/>
  <c r="N56" i="16" s="1"/>
  <c r="M60" i="16"/>
  <c r="N60" i="16" s="1"/>
  <c r="M64" i="16"/>
  <c r="N64" i="16" s="1"/>
  <c r="M68" i="16"/>
  <c r="N68" i="16" s="1"/>
  <c r="M72" i="16"/>
  <c r="N72" i="16" s="1"/>
  <c r="M76" i="16"/>
  <c r="N76" i="16" s="1"/>
  <c r="M80" i="16"/>
  <c r="N80" i="16" s="1"/>
  <c r="M84" i="16"/>
  <c r="N84" i="16" s="1"/>
  <c r="M88" i="16"/>
  <c r="N88" i="16" s="1"/>
  <c r="M92" i="16"/>
  <c r="N92" i="16" s="1"/>
  <c r="M96" i="16"/>
  <c r="N96" i="16" s="1"/>
  <c r="M100" i="16"/>
  <c r="N100" i="16" s="1"/>
  <c r="M104" i="16"/>
  <c r="N104" i="16" s="1"/>
  <c r="M108" i="16"/>
  <c r="N108" i="16" s="1"/>
  <c r="M112" i="16"/>
  <c r="N112" i="16" s="1"/>
  <c r="M116" i="16"/>
  <c r="N116" i="16" s="1"/>
  <c r="M120" i="16"/>
  <c r="N120" i="16" s="1"/>
  <c r="M124" i="16"/>
  <c r="N124" i="16" s="1"/>
  <c r="M128" i="16"/>
  <c r="N128" i="16" s="1"/>
  <c r="M132" i="16"/>
  <c r="N132" i="16" s="1"/>
  <c r="M136" i="16"/>
  <c r="N136" i="16" s="1"/>
  <c r="M140" i="16"/>
  <c r="N140" i="16" s="1"/>
  <c r="M26" i="16"/>
  <c r="N26" i="16" s="1"/>
  <c r="M34" i="16"/>
  <c r="N34" i="16" s="1"/>
  <c r="M42" i="16"/>
  <c r="N42" i="16" s="1"/>
  <c r="M50" i="16"/>
  <c r="N50" i="16" s="1"/>
  <c r="M58" i="16"/>
  <c r="N58" i="16" s="1"/>
  <c r="M66" i="16"/>
  <c r="N66" i="16" s="1"/>
  <c r="M78" i="16"/>
  <c r="N78" i="16" s="1"/>
  <c r="M86" i="16"/>
  <c r="N86" i="16" s="1"/>
  <c r="M94" i="16"/>
  <c r="N94" i="16" s="1"/>
  <c r="M106" i="16"/>
  <c r="N106" i="16" s="1"/>
  <c r="M114" i="16"/>
  <c r="N114" i="16" s="1"/>
  <c r="M126" i="16"/>
  <c r="N126" i="16" s="1"/>
  <c r="M134" i="16"/>
  <c r="N134" i="16" s="1"/>
  <c r="M142" i="16"/>
  <c r="N142" i="16" s="1"/>
  <c r="M21" i="16"/>
  <c r="N21" i="16" s="1"/>
  <c r="M25" i="16"/>
  <c r="N25" i="16" s="1"/>
  <c r="M29" i="16"/>
  <c r="N29" i="16" s="1"/>
  <c r="M33" i="16"/>
  <c r="N33" i="16" s="1"/>
  <c r="M37" i="16"/>
  <c r="N37" i="16" s="1"/>
  <c r="M41" i="16"/>
  <c r="N41" i="16" s="1"/>
  <c r="M45" i="16"/>
  <c r="N45" i="16" s="1"/>
  <c r="M49" i="16"/>
  <c r="N49" i="16" s="1"/>
  <c r="M53" i="16"/>
  <c r="N53" i="16" s="1"/>
  <c r="M57" i="16"/>
  <c r="N57" i="16" s="1"/>
  <c r="M61" i="16"/>
  <c r="N61" i="16" s="1"/>
  <c r="M65" i="16"/>
  <c r="N65" i="16" s="1"/>
  <c r="M69" i="16"/>
  <c r="N69" i="16" s="1"/>
  <c r="M73" i="16"/>
  <c r="N73" i="16" s="1"/>
  <c r="M77" i="16"/>
  <c r="N77" i="16" s="1"/>
  <c r="M81" i="16"/>
  <c r="N81" i="16" s="1"/>
  <c r="M85" i="16"/>
  <c r="N85" i="16" s="1"/>
  <c r="M89" i="16"/>
  <c r="N89" i="16" s="1"/>
  <c r="M93" i="16"/>
  <c r="N93" i="16" s="1"/>
  <c r="M97" i="16"/>
  <c r="N97" i="16" s="1"/>
  <c r="M101" i="16"/>
  <c r="N101" i="16" s="1"/>
  <c r="M105" i="16"/>
  <c r="N105" i="16" s="1"/>
  <c r="M109" i="16"/>
  <c r="N109" i="16" s="1"/>
  <c r="M113" i="16"/>
  <c r="N113" i="16" s="1"/>
  <c r="M117" i="16"/>
  <c r="N117" i="16" s="1"/>
  <c r="M121" i="16"/>
  <c r="N121" i="16" s="1"/>
  <c r="M125" i="16"/>
  <c r="N125" i="16" s="1"/>
  <c r="M129" i="16"/>
  <c r="N129" i="16" s="1"/>
  <c r="M133" i="16"/>
  <c r="N133" i="16" s="1"/>
  <c r="M137" i="16"/>
  <c r="N137" i="16" s="1"/>
  <c r="M141" i="16"/>
  <c r="N141" i="16" s="1"/>
  <c r="M22" i="16"/>
  <c r="N22" i="16" s="1"/>
  <c r="M70" i="16"/>
  <c r="N70" i="16" s="1"/>
  <c r="M98" i="16"/>
  <c r="N98" i="16" s="1"/>
  <c r="M110" i="16"/>
  <c r="N110" i="16" s="1"/>
  <c r="M122" i="16"/>
  <c r="N122" i="16" s="1"/>
  <c r="M12" i="16"/>
  <c r="N12" i="16" s="1"/>
  <c r="M16" i="16"/>
  <c r="N16" i="16" s="1"/>
  <c r="M13" i="16"/>
  <c r="N13" i="16" s="1"/>
  <c r="M17" i="16"/>
  <c r="N17" i="16" s="1"/>
  <c r="M15" i="16"/>
  <c r="N15" i="16" s="1"/>
  <c r="M14" i="16"/>
  <c r="N14" i="16" s="1"/>
  <c r="M18" i="16"/>
  <c r="N18" i="16" s="1"/>
  <c r="G104" i="15"/>
  <c r="F105" i="15"/>
  <c r="G105" i="15" s="1"/>
  <c r="G93" i="15"/>
  <c r="F94" i="15"/>
  <c r="G94" i="15" s="1"/>
  <c r="G82" i="15"/>
  <c r="F83" i="15"/>
  <c r="G83" i="15" s="1"/>
  <c r="G71" i="15"/>
  <c r="F72" i="15"/>
  <c r="G72" i="15" s="1"/>
  <c r="G57" i="15"/>
  <c r="F58" i="15"/>
  <c r="G58" i="15" s="1"/>
  <c r="G45" i="15"/>
  <c r="F46" i="15"/>
  <c r="G46" i="15" s="1"/>
  <c r="F20" i="15"/>
  <c r="G20" i="15" s="1"/>
  <c r="G19" i="15"/>
  <c r="G32" i="15"/>
  <c r="F33" i="15"/>
  <c r="G33" i="15" s="1"/>
  <c r="G6" i="15"/>
  <c r="F7" i="15"/>
  <c r="G7" i="15" s="1"/>
  <c r="AI17" i="16" l="1"/>
  <c r="AI57" i="16" s="1"/>
  <c r="AK54" i="16" s="1"/>
  <c r="AH57" i="16"/>
  <c r="N143" i="16"/>
  <c r="P129" i="16" s="1"/>
  <c r="Q131" i="16" s="1"/>
  <c r="M143" i="16"/>
  <c r="AL18" i="16" l="1"/>
  <c r="AN17" i="16" s="1"/>
  <c r="AM54"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<sst xmlns="http://schemas.openxmlformats.org/spreadsheetml/2006/main" count="4142" uniqueCount="558">
  <si>
    <t>Marca temporal</t>
  </si>
  <si>
    <t>1. Semestre que cursas actualmente</t>
  </si>
  <si>
    <t>2. Sexo</t>
  </si>
  <si>
    <t>3. Edad</t>
  </si>
  <si>
    <t>4. Durante las últimas 4 semanas, ¿cuántas horas CONTINUAS has dedicado en promedio a programar en una sola sesión?</t>
  </si>
  <si>
    <t>5. Durante la carrera, ¿has trabajado en un proyecto de programación durante 3 o más días consecutivos?</t>
  </si>
  <si>
    <t>6. Durante sesiones prolongadas de programación, he olvidado la sintaxis de funciones o comandos que conozco bien.</t>
  </si>
  <si>
    <t>7. He tenido que releer mi propio código varias veces para entender qué estaba haciendo.</t>
  </si>
  <si>
    <t>8. Me ha costado identificar errores simples en el código que normalmente detectaría rápidamente.</t>
  </si>
  <si>
    <t>9. He perdido el hilo de lo que estaba programando y he tenido que empezar de nuevo.</t>
  </si>
  <si>
    <t>10. Me he sentido mentalmente agotado mientras intento resolver problemas de programación.</t>
  </si>
  <si>
    <t>11. He tenido dificultad para concentrarme en la lógica del programa después de varias horas de trabajo.</t>
  </si>
  <si>
    <t>12. He necesitado más tiempo del normal para resolver problemas de programación que considero sencillos.</t>
  </si>
  <si>
    <t>13. Durante o después de programar por periodos prolongados, he experimentado dolores de cabeza, fatiga visual o cansancio físico extremo.</t>
  </si>
  <si>
    <t>14. Me he sentido frustrado o ansioso al no poder resolver errores en el código después de varias horas intentándolo.</t>
  </si>
  <si>
    <t>15. ¿Cómo abordas un problema cuando tu solución no te está llevando al resultado esperado?</t>
  </si>
  <si>
    <t>16. Si deseas, describe brevemente cómo te sientes después de una jornada larga de programación (8 horas o más).</t>
  </si>
  <si>
    <t>Noveno semestre o superior</t>
  </si>
  <si>
    <t>Hombre</t>
  </si>
  <si>
    <t>21-23 años</t>
  </si>
  <si>
    <t>Menos de 2 horas</t>
  </si>
  <si>
    <t>Sí, una vez</t>
  </si>
  <si>
    <t>4 - Casi siempre</t>
  </si>
  <si>
    <t>5 – Siempre</t>
  </si>
  <si>
    <t>3 - Algunas veces</t>
  </si>
  <si>
    <t>Suelo pedir ayuda a compañeros que posiblemente podrían encontrar una solución, investigar en foros e incluso usar IA para poder resolverlo</t>
  </si>
  <si>
    <t>Suelo tener dolor de cabeza y cansancio visual derivado del estrés que suelo presentar al encontrarme con problemas que es difil de resolver y al tener que prolongar las horas de programación</t>
  </si>
  <si>
    <t>24-26 años</t>
  </si>
  <si>
    <t>2-4 horas</t>
  </si>
  <si>
    <t>Sí, 4 o más veces</t>
  </si>
  <si>
    <t>2 - Casi nunca</t>
  </si>
  <si>
    <t>1 - Nunca</t>
  </si>
  <si>
    <t xml:space="preserve">Trato de enfocarme en el completamente para lograr llegar a la solución </t>
  </si>
  <si>
    <t xml:space="preserve">A veces fatigado y cansado y en ocasiones tranquilo y normal </t>
  </si>
  <si>
    <t>replanteo el problema en pequeñas partes para poder resolverlo</t>
  </si>
  <si>
    <t>Muy cansado, fatigado físicamente y mentalmente, con dolores de cabeza y ojos irritados, dolores de espalda por pasar horas sentado y excederse sentado sin estirar o tomar un respiro.</t>
  </si>
  <si>
    <t>8-10 horas</t>
  </si>
  <si>
    <t>Analizar mi solucion de inicio a fin</t>
  </si>
  <si>
    <t>Con ganas de dormir por 1 dia entero</t>
  </si>
  <si>
    <t>Más de 12 horas</t>
  </si>
  <si>
    <t>Trato de buscar un enfoque diferente o procrastino :b</t>
  </si>
  <si>
    <t>Agotado</t>
  </si>
  <si>
    <t xml:space="preserve">Me duermo </t>
  </si>
  <si>
    <t xml:space="preserve">Cansado y con sueño </t>
  </si>
  <si>
    <t>Mujer</t>
  </si>
  <si>
    <t xml:space="preserve">Reviso el problema minuciosamente, depuro el código o realizo una investigación </t>
  </si>
  <si>
    <t>Estresado, fatigado y cansado</t>
  </si>
  <si>
    <t>Octavo semestre</t>
  </si>
  <si>
    <t>Sí, 2-3 veces</t>
  </si>
  <si>
    <t xml:space="preserve">Me tomo un tiempo </t>
  </si>
  <si>
    <t xml:space="preserve">Fatigado </t>
  </si>
  <si>
    <t>5 - Siempre</t>
  </si>
  <si>
    <t>Me paro, respiro, salgo y veo la vida fluir y a seguirle</t>
  </si>
  <si>
    <t xml:space="preserve">Cuando sale todo bien super satisfecho pero cuando no es todo lo contrario </t>
  </si>
  <si>
    <t>Buscar ejemplos variados y combinar soluciones</t>
  </si>
  <si>
    <t>Los ojos rojos por la luz de la pantalla incluso al reducirla o utilizar el cambio de la luz normal a lud nocturna.</t>
  </si>
  <si>
    <t>5-7 horas</t>
  </si>
  <si>
    <t>Dejo de realizar soluciones hasta el siguiente dia</t>
  </si>
  <si>
    <t xml:space="preserve">es raro explicarlo pues se siente como fatiga mental en donde de plano dejas de pensar, se nota que ya no sigues el hilo de lo que haces en programación y busco entretenimiento fácil y rápido como ver videos  y asi </t>
  </si>
  <si>
    <t>Busco en internet (youtube o en plataformas como Academia) o con ayuda de la IA una solucion que sea la mejor para el proyecto</t>
  </si>
  <si>
    <t>Cansancio y dolor ocular</t>
  </si>
  <si>
    <t xml:space="preserve">Pedir ayuda </t>
  </si>
  <si>
    <t>Estresado</t>
  </si>
  <si>
    <t>Investigado mucho del tema y haciendo preguntas a gente que más conocimientos tengan</t>
  </si>
  <si>
    <t>Se siente un alivio que funcione un programa, ya que de tantas pruebas y errores se siente estresante.</t>
  </si>
  <si>
    <t>Despejando mi mente por un momento</t>
  </si>
  <si>
    <t>Tercer semestre</t>
  </si>
  <si>
    <t>Investigo o chat gpt</t>
  </si>
  <si>
    <t xml:space="preserve">Cansado pero satisfecho que corra el código </t>
  </si>
  <si>
    <t>Pregunto a mi compañeros con más experiencias o simplemente simplemente busco diferentes métodos para resolverlo</t>
  </si>
  <si>
    <t>Fatiga visual</t>
  </si>
  <si>
    <t>Busco ejemplos en internet, ver videos de youtube e incluso me apoyo en la ia</t>
  </si>
  <si>
    <t>Estresada, frustrada, y demasiado cansada</t>
  </si>
  <si>
    <t>Me tomo un momento para revisar el problema y mi enfoque inicial.</t>
  </si>
  <si>
    <t>Después de una jornada larga de programación, me siento agotada.  Es como si mi cerebro hubiera estado procesando código durante horas y necesitara tomar un descanso.</t>
  </si>
  <si>
    <t>Analizo qué sí está funcionando</t>
  </si>
  <si>
    <t>Suelo sentirme mentalmente cansado pero satisfecho.</t>
  </si>
  <si>
    <t>descanso y lo reviso después de un tiempo</t>
  </si>
  <si>
    <t>cansado</t>
  </si>
  <si>
    <t>Hago uso de la inteligencia artificial</t>
  </si>
  <si>
    <t xml:space="preserve">Me siento mentalmente cansada, con sueño, estrés y dolor visual </t>
  </si>
  <si>
    <t xml:space="preserve">Replantear la forma de verlo desde el comienzo, y la mejor manera es liberando estrés, ya ses durmieron una siesta, jugando, algo que distraiga y luego regreso </t>
  </si>
  <si>
    <t xml:space="preserve">Jodidamente cansado y sumamente irritado </t>
  </si>
  <si>
    <t xml:space="preserve">Descanso un corto tiempo en lo que encuentro la solución </t>
  </si>
  <si>
    <t xml:space="preserve">Cansada, con dolor de cabeza y espalda debido a pasar periodos largos sentada frente a una computadora </t>
  </si>
  <si>
    <t>Investigando o diviendo el problema en partes mas pequeñas.</t>
  </si>
  <si>
    <t>Con algo de cansancio y fatiga visual.</t>
  </si>
  <si>
    <t>Descanso</t>
  </si>
  <si>
    <t>Fatigado</t>
  </si>
  <si>
    <t>Investigo una posible solución</t>
  </si>
  <si>
    <t xml:space="preserve">No he tenido jornadas largas </t>
  </si>
  <si>
    <t>No, nunca</t>
  </si>
  <si>
    <t>No se</t>
  </si>
  <si>
    <t>Bien verguiado</t>
  </si>
  <si>
    <t>Consulatando a la IA</t>
  </si>
  <si>
    <t>Satisfecho con el trabajo realizado pero cansado</t>
  </si>
  <si>
    <t>Tomar un tiempo de descanso y después replantear la solución desde cero</t>
  </si>
  <si>
    <t>Me siento agotado mentalmente y con mucha fatiga visual además de dolores musculares por la postura durante largas jornadas programando</t>
  </si>
  <si>
    <t xml:space="preserve">Lo dejo un rato y luego vuelvo a ello </t>
  </si>
  <si>
    <t xml:space="preserve">Cansado y feliz de lo que he avanzado </t>
  </si>
  <si>
    <t xml:space="preserve">Le preguntó a alguien más </t>
  </si>
  <si>
    <t>Cansada</t>
  </si>
  <si>
    <t xml:space="preserve">Trato de relajarme </t>
  </si>
  <si>
    <t xml:space="preserve">Estresada, abrumada </t>
  </si>
  <si>
    <t>Sexto semestre</t>
  </si>
  <si>
    <t>Busco algún ejemplo que ayude</t>
  </si>
  <si>
    <t>Si los objetivos se han cumplido, todo bien, siento paz, si no se cumplen los objetivos a pesar de pasar muchas horas de trabajo cierta frustración</t>
  </si>
  <si>
    <t>Cuarto semestre</t>
  </si>
  <si>
    <t>27 años o más</t>
  </si>
  <si>
    <t>desde el inicio</t>
  </si>
  <si>
    <t>cansada</t>
  </si>
  <si>
    <t>18-20 años</t>
  </si>
  <si>
    <t>Suelo acudir a la IA</t>
  </si>
  <si>
    <t xml:space="preserve">Bastante desgastado mentalmente </t>
  </si>
  <si>
    <t xml:space="preserve">Divido el problema por partes para poder resolverlo paso a paso hasta encontrar una mejor solución </t>
  </si>
  <si>
    <t>Me siento bastante agotado y estresado</t>
  </si>
  <si>
    <t>Busco ayuda con compañeros o recurro a la IA</t>
  </si>
  <si>
    <t xml:space="preserve">Cansado y estresado </t>
  </si>
  <si>
    <t>Normalmente dejo de programar y me pongo a hacer algo distinto para liberar mi mente</t>
  </si>
  <si>
    <t xml:space="preserve">Normalmente me siento física y mentalmente cansado </t>
  </si>
  <si>
    <t>Me suelo frustrar</t>
  </si>
  <si>
    <t>Suelo sentirme cansado y con dolores de cabeza</t>
  </si>
  <si>
    <t>Prefiero no decirlo</t>
  </si>
  <si>
    <t xml:space="preserve">Uso la AI </t>
  </si>
  <si>
    <t xml:space="preserve">SI LO LOGRO HACER ME SIENTO REALIZADO, SI NO ME MATO </t>
  </si>
  <si>
    <t>Quinto semestre</t>
  </si>
  <si>
    <t xml:space="preserve">Descanso un rato y vuelvo otra vez </t>
  </si>
  <si>
    <t xml:space="preserve">Frustrado </t>
  </si>
  <si>
    <t xml:space="preserve">Replanteo el método a utilizar </t>
  </si>
  <si>
    <t>Demasiado cansado y agotado</t>
  </si>
  <si>
    <t xml:space="preserve">Busca en diferentes plataformas en busca de ayuda </t>
  </si>
  <si>
    <t xml:space="preserve">Cuando es una una jornada me siento con dolor de cabeza, cansansio visual y sueño </t>
  </si>
  <si>
    <t>algo cansado pero manejable</t>
  </si>
  <si>
    <t>la vista la siento fatigada y cansado</t>
  </si>
  <si>
    <t>le pregunto a compañeros o busco ejemplos similares</t>
  </si>
  <si>
    <t>demasiado cansado y solo quiero dormir</t>
  </si>
  <si>
    <t>Séptimo semestre</t>
  </si>
  <si>
    <t>Desscanso un rato y luego lo intento de nuevo</t>
  </si>
  <si>
    <t>Con dolor de ojos y algo frustrado</t>
  </si>
  <si>
    <t>Le pregunto a la ia y pido ayuda con mis compañeros</t>
  </si>
  <si>
    <t>Siento demasiado estrés al punto de llorar</t>
  </si>
  <si>
    <t>Buscar diferentes métodos informáticos para resolverlo</t>
  </si>
  <si>
    <t>muy cansada</t>
  </si>
  <si>
    <t>respiro unos segundos y continuo</t>
  </si>
  <si>
    <t xml:space="preserve">replanteo la solución </t>
  </si>
  <si>
    <t>agotado y estresado</t>
  </si>
  <si>
    <t>pregunto a la ia y me pongo a revisar el codigo por si encuentro alguna irregularidad</t>
  </si>
  <si>
    <t xml:space="preserve">realizado por haber terminado </t>
  </si>
  <si>
    <t>Segundo semestre</t>
  </si>
  <si>
    <t>busco herramientas novedosas que me ayuden a llegar a la solución esperada</t>
  </si>
  <si>
    <t>estresado, con sueño y dolor de cabeza</t>
  </si>
  <si>
    <t>Busco ayuda de personas que saben más del tema o uso alternativas como IA para poder ayudarme a resolver el problema</t>
  </si>
  <si>
    <t>Cansado con mucho dolor de cabeza y vista cansada</t>
  </si>
  <si>
    <t xml:space="preserve">estudiar parte por parte y replantear cada parte que ayude a llegar o mejorar la solución </t>
  </si>
  <si>
    <t>puedo suponer que muy cansada (no he llegado a esa cantidad de horas)</t>
  </si>
  <si>
    <t>Empiezo de 0 desde otro enfoque</t>
  </si>
  <si>
    <t>Mentalmente cansado</t>
  </si>
  <si>
    <t>tomar un enfoque diferente al ya visto</t>
  </si>
  <si>
    <t>demasiado estresado fisica y mentalmente por el largo tiempo sin descanso</t>
  </si>
  <si>
    <t>analizar por partes el proceso y determinar o implementar una mueva estrategia de mejora</t>
  </si>
  <si>
    <t>cansado, fatiga continua, dolores de cabeza, sueño y cuerpo rigido</t>
  </si>
  <si>
    <t>descanso 3 dias</t>
  </si>
  <si>
    <t>estresado y agotado</t>
  </si>
  <si>
    <t xml:space="preserve">Me doy un descanso de algunas horas para recuperar energías y regresar fresco </t>
  </si>
  <si>
    <t>Si cumplí con mi objetivo me siento satisfecho con mi trabajo</t>
  </si>
  <si>
    <t xml:space="preserve">trato de seguir investigando </t>
  </si>
  <si>
    <t xml:space="preserve">un poco mas interesada en el tema </t>
  </si>
  <si>
    <t xml:space="preserve">Lo dejo por un momento </t>
  </si>
  <si>
    <t xml:space="preserve">Cansado y con dolor de cabeza </t>
  </si>
  <si>
    <t xml:space="preserve">Descansando </t>
  </si>
  <si>
    <t xml:space="preserve">Agotado </t>
  </si>
  <si>
    <t>Descansar un rato</t>
  </si>
  <si>
    <t xml:space="preserve">Productiva </t>
  </si>
  <si>
    <t>Cuando mi solución no funciona, busco otra estrategia y pido apoyo a compañeros</t>
  </si>
  <si>
    <t>Después de 8 horas me siento agotada y con dolor de cabeza, necesito descansar</t>
  </si>
  <si>
    <t>Intento dividir el problema en partes más pequeñas</t>
  </si>
  <si>
    <t>Me siento saturado mentalmente, pero también orgulloso de avanzar</t>
  </si>
  <si>
    <t>Me tomo un descanso y luego vuelvo con otra perspectiva</t>
  </si>
  <si>
    <t>Me siento ansiosa y con fatiga visual, necesito desconectarme</t>
  </si>
  <si>
    <t>Reviso tutoriales o ejemplos similares</t>
  </si>
  <si>
    <t>Cansado pero motivado porque aprendo más</t>
  </si>
  <si>
    <t>Busco ayuda en foros o con profesores</t>
  </si>
  <si>
    <t>Me siento con estrés acumulado y poca concentración</t>
  </si>
  <si>
    <t>Cambio de enfoque y pruebo otra lógica</t>
  </si>
  <si>
    <t>Me siento exhausto, con dolor de espalda y ojos cansados</t>
  </si>
  <si>
    <t>Intento simplificar el código y probar paso a paso</t>
  </si>
  <si>
    <t>Me siento agotada pero satisfecha de aprender</t>
  </si>
  <si>
    <t>Busco otra solución en internet y comparo ideas</t>
  </si>
  <si>
    <t>Me siento mentalmente saturado, necesito desconectarme para relajarme</t>
  </si>
  <si>
    <t>Me frustro, pero trato de reorganizar mi lógica</t>
  </si>
  <si>
    <t>me siento con ansiedad y fatiga extrema</t>
  </si>
  <si>
    <t>Reinicio el proyecto y lo hago más simple</t>
  </si>
  <si>
    <t>cansado pero con ganas de seguir aprendiendo</t>
  </si>
  <si>
    <t xml:space="preserve">Viendo videos que me sirvan de referencia o revisando códigos antiguos que tengo o en su caso de repositorios </t>
  </si>
  <si>
    <t>Suelo tener cansancio visual y usualmente dejo de poder resolver problemas que serian fácil de solucionar si tuviera la cabeza más fría</t>
  </si>
  <si>
    <t>no se</t>
  </si>
  <si>
    <t>realizo una retroalimentación de los procedimientos para identificar errores y mejoras.</t>
  </si>
  <si>
    <t>investigo en internet mejores implementaciones para llegar al resultado esperado</t>
  </si>
  <si>
    <t>cambiar de enfoque</t>
  </si>
  <si>
    <t>aplico la estrategia de divide y vencerás</t>
  </si>
  <si>
    <t>recurro a ayudar más experimentada</t>
  </si>
  <si>
    <t>me ayudo con las nuevas tecnologías de IA para encontrar posibles errores o mejoras de código</t>
  </si>
  <si>
    <t>Implemento diferentes métodos de procedimientos</t>
  </si>
  <si>
    <t>recurro a pedir ayuda a alguien más</t>
  </si>
  <si>
    <t>vuelvo a rehacer la solución tomando en cuenta otro enfoque</t>
  </si>
  <si>
    <t>Me tomo un respiro y trato de despejar mi mente</t>
  </si>
  <si>
    <t>Es cansado y estresante</t>
  </si>
  <si>
    <t xml:space="preserve">Me trató de relajar y distraerme un rato </t>
  </si>
  <si>
    <t xml:space="preserve">Algo estresado si no veo avances </t>
  </si>
  <si>
    <t xml:space="preserve">Pues trato de calmarme o relajarme para intentarlo más tarde </t>
  </si>
  <si>
    <t xml:space="preserve">Me da dolor de cabeza y me siento frustrado </t>
  </si>
  <si>
    <t xml:space="preserve">Descansar un rato y luego continuar </t>
  </si>
  <si>
    <t xml:space="preserve">Cansado y afligido y con estrés </t>
  </si>
  <si>
    <t xml:space="preserve">Cuando me doy cuenta de que la solución que estoy usando no está funcionando, primero hago una pausa para analizar con calma qué es lo que no está saliendo como esperaba. Reviso paso por paso lo que hice y trato de identificar en qué punto podrían estar los errores o los obstáculos. </t>
  </si>
  <si>
    <t xml:space="preserve">Muy cansada, agotada, con dolor de cabeza y sueño </t>
  </si>
  <si>
    <t>Consulto con la IA o alguna persona de confianza como algún profesor o compañero</t>
  </si>
  <si>
    <t xml:space="preserve">Me siento agitado y a veces frustrado, aunque también aliviado por haber podido resolver el problema </t>
  </si>
  <si>
    <t>Busco en qué parte me equivoqué o qué no está funcionando.</t>
  </si>
  <si>
    <t>Después de programar muchas horas, me siento cansado y con ganas de desconectarme un rato. A veces también me siento tranquilo si avancé, pero necesito descansar para recuperar energía.</t>
  </si>
  <si>
    <t>Recurrir a cursos para solucionar el problema</t>
  </si>
  <si>
    <t xml:space="preserve">Repasando los temas </t>
  </si>
  <si>
    <t>Replanteo la meta</t>
  </si>
  <si>
    <t>Prefiero dejarlo y retomarlo despues</t>
  </si>
  <si>
    <t>Agotada, con un poco de malestar, y aveces feliz por lograr un avance</t>
  </si>
  <si>
    <t>Descanso y vuelvo a intentarlo</t>
  </si>
  <si>
    <t xml:space="preserve">Cansado </t>
  </si>
  <si>
    <t xml:space="preserve">Pregunto a otros compañeros </t>
  </si>
  <si>
    <t>Acudo a personas con mas espericia o la IA</t>
  </si>
  <si>
    <t>Cansancio y dolores corporales como espalda, a demas de fatiga visual</t>
  </si>
  <si>
    <t>Decido dejarlo por un momento, relajarme y despejar mi mente y si la solución se presenta pos le seguimos</t>
  </si>
  <si>
    <t xml:space="preserve">Estresado y cansado </t>
  </si>
  <si>
    <t xml:space="preserve">Me relajo y tomo un tiempo </t>
  </si>
  <si>
    <t xml:space="preserve">Investigó o rápidamente acudo a una ia </t>
  </si>
  <si>
    <t xml:space="preserve">Mal, agobiado y a la vez relajada sabiendo que ya lo termine o que la menos pude hacerlo </t>
  </si>
  <si>
    <t>Uso alguna IA como chat o gemini, si eso no funciona dejo todo, y lo retomo cuando se me pasa el onojo o frustación</t>
  </si>
  <si>
    <t>Cansado, Estresado y bastante irritado</t>
  </si>
  <si>
    <t xml:space="preserve">Ayuda externa </t>
  </si>
  <si>
    <t xml:space="preserve">Cansado y ajetreado, con mucho dolor de cabeza </t>
  </si>
  <si>
    <t xml:space="preserve">Mantener la calma, y pensar en otra opción </t>
  </si>
  <si>
    <t xml:space="preserve">Cansando y estresado </t>
  </si>
  <si>
    <t xml:space="preserve">Investigando en otras fuentes de información </t>
  </si>
  <si>
    <t xml:space="preserve">Cansando mentalmente </t>
  </si>
  <si>
    <t xml:space="preserve">Recostarme, charlar un rato con amigos o jugar algo así como comer algo, y luego volver cuando me siento listo </t>
  </si>
  <si>
    <t>Drenado completamente de todo</t>
  </si>
  <si>
    <t>Cuando mi solución no me está llevando al resultado esperado, primero reviso si entendí bien el problema. Después analizo mi procedimiento paso a paso para identificar en qué parte estoy fallando, en lugar de cambiar todo sin pensar</t>
  </si>
  <si>
    <t>Me siento mentalmente cansada, pero también satisfecha porque logré avanzar o resolver problemas que tenía.</t>
  </si>
  <si>
    <t>Releo</t>
  </si>
  <si>
    <t>Estresante</t>
  </si>
  <si>
    <t>Me desespero , pero mantengo la calma para solucionarlo</t>
  </si>
  <si>
    <t>Cansado</t>
  </si>
  <si>
    <t>Pues investivo</t>
  </si>
  <si>
    <t>Muy cansado</t>
  </si>
  <si>
    <t xml:space="preserve">Desesperado </t>
  </si>
  <si>
    <t xml:space="preserve">Fatigado, estrenado y agotado </t>
  </si>
  <si>
    <t>Sigo intentando hasta llegar al objetivo que esperaba</t>
  </si>
  <si>
    <t xml:space="preserve">Busco asesoría </t>
  </si>
  <si>
    <t>Respiro profundo y me tomo un descanso</t>
  </si>
  <si>
    <t>Me siento un poco fatigado y cansado pero tomo un descanso o me duermo</t>
  </si>
  <si>
    <t>Trato de descansar o dormir un rato para que mi mente de aclaré</t>
  </si>
  <si>
    <t xml:space="preserve">Cansada y con dolor de cabeza </t>
  </si>
  <si>
    <t>Tomandome un tiempo para relajarme y después volver a intentarlo</t>
  </si>
  <si>
    <t xml:space="preserve">Inteligencia artificial </t>
  </si>
  <si>
    <t>Dolor de cabeza, fatiga visual, no me puedo concentrar en nada, me da mucho sueño. El tiempo pasa más rápido de lo normal</t>
  </si>
  <si>
    <t>Intecto retroceder un poco antes, desde donde va dando el resultado que espero y ver porque mo funciono</t>
  </si>
  <si>
    <t>Me sineto cansado, sin animo y de fracasar el proyecto 9 dejarlo a medias</t>
  </si>
  <si>
    <t>Mejorando continuamente</t>
  </si>
  <si>
    <t xml:space="preserve">Pues la verdad cuando termino una jornada de programación pues me queda aliviado ya que el código quedó bien y algo cansado </t>
  </si>
  <si>
    <t>11-12 horas</t>
  </si>
  <si>
    <t>Buscar ayuda de personas más experimentadas</t>
  </si>
  <si>
    <t xml:space="preserve">Cansado y agotado mentalmente </t>
  </si>
  <si>
    <t xml:space="preserve">Me doy un brake y vuelvo a empezar </t>
  </si>
  <si>
    <t>Cansada mentalmente</t>
  </si>
  <si>
    <t xml:space="preserve">Investigar otros métodos de soluciones para ver cual es el mas factible </t>
  </si>
  <si>
    <t xml:space="preserve">Un poco agotador cuando no son días seguidos, cuando son días seguidos solo quieres descansar, comer y dormir después de la jornada </t>
  </si>
  <si>
    <t>busco ayuda en internet</t>
  </si>
  <si>
    <t>mal</t>
  </si>
  <si>
    <t xml:space="preserve">consulto a la ia </t>
  </si>
  <si>
    <t xml:space="preserve">nunca he programado más de 8 horas </t>
  </si>
  <si>
    <t>Generalmente busco en internet o con la IA posibles soluciones alternas</t>
  </si>
  <si>
    <t>Normalmente quedo bastante cansado mentalmente, cuando consigue especial progreso en el día quedo satisfecho pero de todas formas algo cansado</t>
  </si>
  <si>
    <t>investigo, le y investigo</t>
  </si>
  <si>
    <t>agotado</t>
  </si>
  <si>
    <t>Busco la manera de resolverlo mediante videos o investigaciones o preguntando al que sabe</t>
  </si>
  <si>
    <t>Totalmente cansado a nivel fisico y mental</t>
  </si>
  <si>
    <t>Darme un respiro para continuar después lo que tenga pendiente</t>
  </si>
  <si>
    <t xml:space="preserve">Busco ayuda para averiguar si mi solución apunto en la direccion correcta o no </t>
  </si>
  <si>
    <t>Si es un proyecto que va con viento en popa, puede ser menos estresante o incluso relajado si todo va conforme a lo planeado, pero dado a la naturaleza de la tarea de programar, si complejidad y solución del problema se extiende de manera frustrante, y puede resultar agobiante, cansado, proporcionalmente a la fluides de la situacion.</t>
  </si>
  <si>
    <t>Dejo el código, despejo mi mente y luego vuelvo al código.</t>
  </si>
  <si>
    <t>Pregunto a amigos y profesores</t>
  </si>
  <si>
    <t xml:space="preserve">con un poco de estres y ganas de jugar o despejarme </t>
  </si>
  <si>
    <t>Seguir investigando la solución del problema, con ayuda de tutoriales y de IA's</t>
  </si>
  <si>
    <t>Si no logro arreglar el código me sentiría agobiado, pero si todo sale bien, pues solo me sentiría cansado</t>
  </si>
  <si>
    <t>buscando ayuda</t>
  </si>
  <si>
    <t>cansado, con estres</t>
  </si>
  <si>
    <t>afecta mis emociones</t>
  </si>
  <si>
    <t>Primer semestre</t>
  </si>
  <si>
    <t>investigo mas</t>
  </si>
  <si>
    <t>estresado, cansado y sin ganas</t>
  </si>
  <si>
    <t>no sabria como decir</t>
  </si>
  <si>
    <t>con irritacion de ojos, estresado, cansado mentalmente</t>
  </si>
  <si>
    <t>replanteo lo que estoy haciendo, guardo la calma</t>
  </si>
  <si>
    <t>con agotamiento mental y fatiga</t>
  </si>
  <si>
    <t>Dejarlo por un rato y continuar despues</t>
  </si>
  <si>
    <t xml:space="preserve">Cansado con ganas de dormir </t>
  </si>
  <si>
    <t>Me apoyo de la Inteligencia Artificial</t>
  </si>
  <si>
    <t>Investigo en Internet</t>
  </si>
  <si>
    <t>Voy dividiendo el problema en secciones mas pequeñas</t>
  </si>
  <si>
    <t>Dejo por un rato lo que estaba haciendo y continuo despues con la mente mas tranquila</t>
  </si>
  <si>
    <t>Con cansancio y fatiga</t>
  </si>
  <si>
    <t>Aplico metodologias de resolucion de problemas</t>
  </si>
  <si>
    <t>Me relajo un rato y despues intento resolver el problema con la mente mas clara</t>
  </si>
  <si>
    <t>Intento resolverlo cada 5 minutos hasta lograrlo</t>
  </si>
  <si>
    <t>Voy desglosando el problema</t>
  </si>
  <si>
    <t>Lo detallo en partes mas pequeñas</t>
  </si>
  <si>
    <t>Consulto a otras personas</t>
  </si>
  <si>
    <t>Busco en google</t>
  </si>
  <si>
    <t>Indago en internet</t>
  </si>
  <si>
    <t>Divido el problema en partes mas peuqeñas</t>
  </si>
  <si>
    <t>Me relajo por un momento</t>
  </si>
  <si>
    <t>Me tomo un descanso de entre 30 min y 1 hora</t>
  </si>
  <si>
    <t>Vuelvo a plantear la solución</t>
  </si>
  <si>
    <t>Cansado mentalmente, y más si no se pudo resolver alguna incidencia</t>
  </si>
  <si>
    <t>Hago uso de IA</t>
  </si>
  <si>
    <t>Me siento bien</t>
  </si>
  <si>
    <t>Reviso paso a paso lo que hice</t>
  </si>
  <si>
    <t>Busco en Google el error</t>
  </si>
  <si>
    <t>Le pregunta a la IA</t>
  </si>
  <si>
    <t>Miro la consola con calma</t>
  </si>
  <si>
    <t>Divido el problema en partes chicas</t>
  </si>
  <si>
    <t>Un poco de sueñito</t>
  </si>
  <si>
    <t>Reviso La Documentación</t>
  </si>
  <si>
    <t>Me tomo mis 5 minutos milky way y vuelvo</t>
  </si>
  <si>
    <t>Me termina doliendo un poco la cabeza</t>
  </si>
  <si>
    <t>Me pongo a depurar el codigo linea por linea</t>
  </si>
  <si>
    <t>Cansancio mental a mas no poder</t>
  </si>
  <si>
    <t>Escribo en papel lo que debería pasar</t>
  </si>
  <si>
    <t>toca borrar y empezar de nuevo</t>
  </si>
  <si>
    <t>bastante fatiga</t>
  </si>
  <si>
    <t>Me voy a caminar y regreso para tomar inspiración</t>
  </si>
  <si>
    <t>Busco en foros de programación</t>
  </si>
  <si>
    <t>Pido ayuda a mis amigos</t>
  </si>
  <si>
    <t>muy agotado y con dolores de cabeza</t>
  </si>
  <si>
    <t>Reviso los mensajes de error que me arroja compilador</t>
  </si>
  <si>
    <t>me tomo un descanso para poder pensar con mayor claridad el problema</t>
  </si>
  <si>
    <t>dolor de espalda por estar mucho tiempo sin moverme del asiento</t>
  </si>
  <si>
    <t>programo con alguien mas que tenga mas experiencia</t>
  </si>
  <si>
    <t>aveces no puedo dormir</t>
  </si>
  <si>
    <t>hago pruebas mas pequeñas para aislar</t>
  </si>
  <si>
    <t>Separo el error en posibles causas</t>
  </si>
  <si>
    <t>demasiadas ganas de descansar</t>
  </si>
  <si>
    <t>lo dejo para otro dia</t>
  </si>
  <si>
    <t>he llorado de frustracion</t>
  </si>
  <si>
    <t>uso un sistema que me ayuda a gestionar mi tiempo y dedicarle mejoras al código</t>
  </si>
  <si>
    <t>Me siento super cansada</t>
  </si>
  <si>
    <t>Busco en la plataforma de Stack Overflow</t>
  </si>
  <si>
    <t>Reviso el último cambio donde todo funcionaba</t>
  </si>
  <si>
    <t>Me siento inútil a veces</t>
  </si>
  <si>
    <t>Duermo y al otro día lo resuelvo</t>
  </si>
  <si>
    <t>Me dan migrañas</t>
  </si>
  <si>
    <t>Busco en internet algoritmos parecidos que me ayuden a resolverlo</t>
  </si>
  <si>
    <t>Pido a programadores con mas experiencia que revisen mi codigo</t>
  </si>
  <si>
    <t xml:space="preserve">mucha ansiedad </t>
  </si>
  <si>
    <t>salgo a caminar un rato para despejar mi mente</t>
  </si>
  <si>
    <t>siempre estoy casado</t>
  </si>
  <si>
    <t>Cambio mi forma de pensar para resolverlo mejor</t>
  </si>
  <si>
    <t>me siento muy fatigado</t>
  </si>
  <si>
    <t>tomo un poco de aire y reviso nuevamente</t>
  </si>
  <si>
    <t>hago un dibujo del flujo</t>
  </si>
  <si>
    <t>busco codigos similares en internet que me ayuden a resolver mi problema</t>
  </si>
  <si>
    <t>con dolores de espalda, me siento tan rigido</t>
  </si>
  <si>
    <t>Empiezo desde cero con otra idea</t>
  </si>
  <si>
    <t>Agotamiento extremo</t>
  </si>
  <si>
    <t>Vuelvo a leer la documentación para ver en que me perdí</t>
  </si>
  <si>
    <t>Pego el error en san google</t>
  </si>
  <si>
    <t>mucho estres y agotamiento</t>
  </si>
  <si>
    <t>hago pruebas pequeñas para ver que ocurre</t>
  </si>
  <si>
    <t>Cambio el enfoque completo</t>
  </si>
  <si>
    <t>hago retroalimentación con un conjunto de amigos para llegar a una mejora de solución</t>
  </si>
  <si>
    <t>Pregunto a alguien que sepa mas</t>
  </si>
  <si>
    <t>veo tutoriales en youtube</t>
  </si>
  <si>
    <t>replanteo nuevas soluciones basándome en búsquedas de internet</t>
  </si>
  <si>
    <t>Le pregunto a Chatsito (ChatGPT)</t>
  </si>
  <si>
    <t>me tomo un descanso para pensar mejores ideas de solución</t>
  </si>
  <si>
    <t>Ejecuto cada linea de codigo para ver en que fallé</t>
  </si>
  <si>
    <t>me informo de libros de programación para obtener mejores formas de llegar al resultado</t>
  </si>
  <si>
    <t>Le explico el problema a mi gato</t>
  </si>
  <si>
    <t>me siento tan tonta</t>
  </si>
  <si>
    <t>me apoyo de la inteligencia artificial para ahorrar tiempo en analizar el codigo</t>
  </si>
  <si>
    <t>me ayudo de un grupo de amigos que le saben a la programación para poder resolver mis problemas</t>
  </si>
  <si>
    <t>regreso al punto donde estaba funcionando</t>
  </si>
  <si>
    <t>recurro a replantear mi enfoque</t>
  </si>
  <si>
    <t>demasiado cansado y con estrés, con muchas ganas de dormir</t>
  </si>
  <si>
    <t>Uso Claude para analizar mi codigo</t>
  </si>
  <si>
    <t>retrocedo al momento antes del error y hago una lluvia de ideas a mano del flujo del codigo</t>
  </si>
  <si>
    <t>Primero duermo un rato y luego reviso</t>
  </si>
  <si>
    <t>Escribo en una hoja el flujo completo de mi sistema</t>
  </si>
  <si>
    <t>Le explico el código a mi amigo que sabe más que yo</t>
  </si>
  <si>
    <t>con dolor de espalda</t>
  </si>
  <si>
    <t>Me tomo un café y vuelvo a leer</t>
  </si>
  <si>
    <t>Hago una lista de lo que sí funciona</t>
  </si>
  <si>
    <t>insomnio</t>
  </si>
  <si>
    <t>Me voy a descansar y lo resuelvo al día siguiente</t>
  </si>
  <si>
    <t>Rehago el algoritmo desde cero</t>
  </si>
  <si>
    <t>quemado hasta los huesos de estás sentado horas y horas</t>
  </si>
  <si>
    <t>reviso si hay errores de tipeos</t>
  </si>
  <si>
    <t>Busco el error en foros de internet en base a mi proyecto</t>
  </si>
  <si>
    <t>reviso los valores que entran al sistema</t>
  </si>
  <si>
    <t>Uso un depurador paso a paso</t>
  </si>
  <si>
    <t>muy frustrada</t>
  </si>
  <si>
    <t xml:space="preserve">Hago una prueba con datos mínimos </t>
  </si>
  <si>
    <t>muy agotado para seguir chambeando</t>
  </si>
  <si>
    <t>Copio el error exacto en Google</t>
  </si>
  <si>
    <t>veo ejemplos similares en internet para resolver el problema</t>
  </si>
  <si>
    <t>HAGO UNA PRUEBA SIMPLE PARA ENCONTRAR EL PROBLEMA</t>
  </si>
  <si>
    <t>MUCHO SUEÑO</t>
  </si>
  <si>
    <t>Escribo en pseucódigo para ver el flujo del codigo</t>
  </si>
  <si>
    <t>Reviso si hay un error de lógica</t>
  </si>
  <si>
    <t>me terminan doliendo los ojos</t>
  </si>
  <si>
    <t>acudo a mis amigos que le saben mas para poder resolver mi problema</t>
  </si>
  <si>
    <t>Busco referencias en mi proyectos anteriores</t>
  </si>
  <si>
    <t>Uso la funcion de debug para saber los errores que me da el sistema</t>
  </si>
  <si>
    <t>Pregunto en un grupo de estudio de programación para resolverlo</t>
  </si>
  <si>
    <t>agrego mensaje de consola en cada línea para ver si me arroja algún error de ejecución</t>
  </si>
  <si>
    <t xml:space="preserve">Reescribo la función completa del programa </t>
  </si>
  <si>
    <t>utilizo tanto inteligencias artificiales como influencers en el rubro de la programación</t>
  </si>
  <si>
    <t>empiezo a indagar en libros de programación para llegar a un enfoque mas simple y capaz</t>
  </si>
  <si>
    <t>utilizo inteligencia artificial para que analice el codigo y supervisar los posibles errores que me indica</t>
  </si>
  <si>
    <t>busco a mis amigos, compañeros, internet, IA para supervisar mi codigo</t>
  </si>
  <si>
    <t>se lo doy a todo a chatgpt para que me diga donde falla</t>
  </si>
  <si>
    <t>pues me ayudo de las misma problematicas similares de internet y ya encuentro o me baso en una de sus soluciones</t>
  </si>
  <si>
    <t>cansancio total, espalda adolorida y ojos irritados</t>
  </si>
  <si>
    <t>VALOR</t>
  </si>
  <si>
    <t>NÚMERO RESPONDIDOS</t>
  </si>
  <si>
    <t>TOTAL</t>
  </si>
  <si>
    <t>SUMA PONDERADA</t>
  </si>
  <si>
    <t>PROMEDIO</t>
  </si>
  <si>
    <t>DISPERSION O DESVIACION ESTANDAR</t>
  </si>
  <si>
    <t xml:space="preserve">Porcentaje obtenido por respuesta </t>
  </si>
  <si>
    <t>MULTIPLICACION</t>
  </si>
  <si>
    <t>NUNCA</t>
  </si>
  <si>
    <t>CASI NUNCA</t>
  </si>
  <si>
    <t>ALGUNAS VECES</t>
  </si>
  <si>
    <t>CASI SIEMPRE</t>
  </si>
  <si>
    <t>SIEMPRE</t>
  </si>
  <si>
    <t>VALOR DEFINICION</t>
  </si>
  <si>
    <t>PROMEDIO O MEDIA</t>
  </si>
  <si>
    <t>Grupo/Categoría</t>
  </si>
  <si>
    <t>Frecuencia</t>
  </si>
  <si>
    <t>Total</t>
  </si>
  <si>
    <t>Frustración y emociones negativas</t>
  </si>
  <si>
    <t>Descanso / pausa mental</t>
  </si>
  <si>
    <t>Buscar ayuda externa (compañeros, profes)</t>
  </si>
  <si>
    <t xml:space="preserve">Usar IA </t>
  </si>
  <si>
    <t>Investigar en internet (Google, YouTube, foros)</t>
  </si>
  <si>
    <t>Dividir el problema en partes más pequeñas</t>
  </si>
  <si>
    <t>Revisar / depurar el código paso a paso</t>
  </si>
  <si>
    <t>Cambiar de enfoque o replantear desde cero</t>
  </si>
  <si>
    <t>Estrés y frustración</t>
  </si>
  <si>
    <t>Molestias físicas (espalda, cabeza, ojos)</t>
  </si>
  <si>
    <t>Satisfacción o sensación de logro</t>
  </si>
  <si>
    <t>Motivación o ganas de seguir</t>
  </si>
  <si>
    <t>Sin experiencia o no aplica</t>
  </si>
  <si>
    <t>Cansancio o agotamiento general</t>
  </si>
  <si>
    <t>No.</t>
  </si>
  <si>
    <t>Categoría</t>
  </si>
  <si>
    <t>Porcentaje</t>
  </si>
  <si>
    <t>No</t>
  </si>
  <si>
    <t>Cansancio y satisfacción (juntos)</t>
  </si>
  <si>
    <t>MEDIA</t>
  </si>
  <si>
    <t>MEDIANA</t>
  </si>
  <si>
    <t>MODA</t>
  </si>
  <si>
    <t>VARIANZA</t>
  </si>
  <si>
    <t>RANGO</t>
  </si>
  <si>
    <t>COEFICIENTE DE VARIACION</t>
  </si>
  <si>
    <t xml:space="preserve">  </t>
  </si>
  <si>
    <t>REACTIVO 11</t>
  </si>
  <si>
    <t>REACTIVO</t>
  </si>
  <si>
    <t>DESVIACION ESTANDAR</t>
  </si>
  <si>
    <t>COFICIENTE DE VARIACION</t>
  </si>
  <si>
    <t>EFECTO</t>
  </si>
  <si>
    <t>Olvido de sintaxis conocida</t>
  </si>
  <si>
    <t>Relectura del codigo</t>
  </si>
  <si>
    <t>Dificultad para detectar errores simples</t>
  </si>
  <si>
    <t>Perdida del hilo y necesidad de iniciar de nuevo</t>
  </si>
  <si>
    <t>Agotamiento mental para resolver el problema</t>
  </si>
  <si>
    <t>Mayor tiempo para resolver problemas sencillos</t>
  </si>
  <si>
    <t>Diificultad de concentracion tras horas de trabajo</t>
  </si>
  <si>
    <t>Dolores de cabeza, fatiga visual y cansancio</t>
  </si>
  <si>
    <t>Frustracion y ansiedad ante errores no resueltos</t>
  </si>
  <si>
    <t>ETIQUETA</t>
  </si>
  <si>
    <t>FRECUENCIA ABSOLUTA</t>
  </si>
  <si>
    <t>FRECUENCIA RELATIVA</t>
  </si>
  <si>
    <t>PORCENTAJE</t>
  </si>
  <si>
    <t>FA(FRECUENCIA ACUMULADA)</t>
  </si>
  <si>
    <t>% ACUMULADO</t>
  </si>
  <si>
    <t>REACTIVO 6</t>
  </si>
  <si>
    <t>REACTIVO 7</t>
  </si>
  <si>
    <t>REACTIVO 8</t>
  </si>
  <si>
    <t>REACTIVO 9</t>
  </si>
  <si>
    <t>REACTIVO 10</t>
  </si>
  <si>
    <t>REACTIVO 12</t>
  </si>
  <si>
    <t>REACTIVO 13</t>
  </si>
  <si>
    <t>REACTIVO 14</t>
  </si>
  <si>
    <t>Frecuencia relativa</t>
  </si>
  <si>
    <t>Frecuencia absoluta</t>
  </si>
  <si>
    <t>MENOS DE 2HRS</t>
  </si>
  <si>
    <t>2-4 HORAS</t>
  </si>
  <si>
    <t>5-7 HORAS</t>
  </si>
  <si>
    <t>8-10 HORA</t>
  </si>
  <si>
    <t>11-12 HORAS</t>
  </si>
  <si>
    <t>MÁS DE 12 HORAS</t>
  </si>
  <si>
    <t>OPCION</t>
  </si>
  <si>
    <t>N</t>
  </si>
  <si>
    <t>R6</t>
  </si>
  <si>
    <t>R7</t>
  </si>
  <si>
    <t>R8</t>
  </si>
  <si>
    <t>R9</t>
  </si>
  <si>
    <t>R10</t>
  </si>
  <si>
    <t>R11</t>
  </si>
  <si>
    <t>R12</t>
  </si>
  <si>
    <t>R13</t>
  </si>
  <si>
    <t>R14</t>
  </si>
  <si>
    <t>Valor de X̄</t>
  </si>
  <si>
    <t>Promedio Xi</t>
  </si>
  <si>
    <t>Xi-X̄</t>
  </si>
  <si>
    <t>(Xi-X̄)2</t>
  </si>
  <si>
    <t>VARIANZA (N-1)</t>
  </si>
  <si>
    <t>VALOR DE σ</t>
  </si>
  <si>
    <t>COMPROBACION DE HIPOTESIS</t>
  </si>
  <si>
    <t>X=</t>
  </si>
  <si>
    <t xml:space="preserve">σ = </t>
  </si>
  <si>
    <t>n=</t>
  </si>
  <si>
    <t>μ =</t>
  </si>
  <si>
    <t>|Z| = 0.10 ≤ 1.96 → No se rechaza H₀</t>
  </si>
  <si>
    <t>Resultado:</t>
  </si>
  <si>
    <t>Xi − X̄</t>
  </si>
  <si>
    <t>Xi (promedio)</t>
  </si>
  <si>
    <t>Columna1</t>
  </si>
  <si>
    <t>(Xi − X̄)2</t>
  </si>
  <si>
    <t>RESULTADO:</t>
  </si>
  <si>
    <t xml:space="preserve">|Z| = 4.53  &gt;  1.96   →   Se rechaza H₀  </t>
  </si>
  <si>
    <t>Jornada regular</t>
  </si>
  <si>
    <t>Jornada extensa</t>
  </si>
  <si>
    <t>−0.10</t>
  </si>
  <si>
    <t>No se rechaza H₀</t>
  </si>
  <si>
    <t>Se rechaza H₀</t>
  </si>
  <si>
    <t>No hay impacto significativo</t>
  </si>
  <si>
    <t>SÍ hay impacto significativo</t>
  </si>
  <si>
    <t>FA</t>
  </si>
  <si>
    <t>FR = FA/n</t>
  </si>
  <si>
    <t>Porcentaje (%)</t>
  </si>
  <si>
    <t>FA Acumulada</t>
  </si>
  <si>
    <t>% Acumulado</t>
  </si>
  <si>
    <t>100.00</t>
  </si>
  <si>
    <t>Categoría modal (más frecuente)</t>
  </si>
  <si>
    <t>Total de respondentes</t>
  </si>
  <si>
    <t>Número de categorías</t>
  </si>
  <si>
    <t>2-4 horas  —  FA = 79  (33.62%)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</si>
</sst>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m/d/yyyy\ h:mm:ss"/>
  </numFmts>
  <fonts count="27" x14ac:knownFonts="1">
    <font>
      <sz val="10"/>
      <color rgb="FF000000"/>
      <name val="Arial"/>
      <scheme val="minor"/>
    </font>
    <font>
      <sz val="11"/>
      <color theme="1"/>
      <name val="Arial"/>
      <family val="2"/>
      <scheme val="minor"/>
    </font>
    <font>
      <sz val="10"/>
      <color theme="1"/>
      <name val="Arial"/>
      <scheme val="minor"/>
    </font>
    <font>
      <b/>
      <sz val="10"/>
      <color theme="1"/>
      <name val="Arial"/>
      <scheme val="minor"/>
    </font>
    <font>
      <sz val="8"/>
      <name val="Arial"/>
      <scheme val="minor"/>
    </font>
    <font>
      <b/>
      <sz val="10"/>
      <color rgb="FF000000"/>
      <name val="Arial"/>
      <scheme val="minor"/>
    </font>
    <font>
      <sz val="10"/>
      <color rgb="FF000000"/>
      <name val="Arial"/>
      <scheme val="minor"/>
    </font>
    <font>
      <sz val="10"/>
      <color rgb="FF000000"/>
      <name val="Arial"/>
      <family val="2"/>
      <scheme val="minor"/>
    </font>
    <font>
      <b/>
      <sz val="10"/>
      <color rgb="FF000000"/>
      <name val="Arial"/>
      <family val="2"/>
      <scheme val="minor"/>
    </font>
    <font>
      <b/>
      <sz val="10"/>
      <color theme="0"/>
      <name val="Arial"/>
      <family val="2"/>
      <scheme val="minor"/>
    </font>
    <font>
      <sz val="10"/>
      <color theme="1"/>
      <name val="Arial"/>
      <family val="2"/>
      <scheme val="minor"/>
    </font>
    <font>
      <b/>
      <sz val="10"/>
      <color theme="1"/>
      <name val="Arial"/>
      <family val="2"/>
      <scheme val="minor"/>
    </font>
    <font>
      <b/>
      <sz val="20"/>
      <color theme="1"/>
      <name val="Arial"/>
      <family val="2"/>
      <scheme val="minor"/>
    </font>
    <font>
      <sz val="11"/>
      <color rgb="FF000000"/>
      <name val="Arial"/>
      <family val="2"/>
      <scheme val="minor"/>
    </font>
    <font>
      <sz val="11"/>
      <color rgb="FF000000"/>
      <name val="Arial"/>
      <family val="2"/>
      <scheme val="major"/>
    </font>
    <font>
      <b/>
      <sz val="11"/>
      <color rgb="FFFFFFFF"/>
      <name val="Arial"/>
      <family val="2"/>
      <scheme val="major"/>
    </font>
    <font>
      <b/>
      <sz val="11"/>
      <color rgb="FF000000"/>
      <name val="Arial"/>
      <family val="2"/>
      <scheme val="major"/>
    </font>
    <font>
      <sz val="8"/>
      <name val="Arial"/>
      <family val="2"/>
      <scheme val="minor"/>
    </font>
    <font>
      <sz val="16"/>
      <color rgb="FF000000"/>
      <name val="Arial"/>
      <family val="2"/>
      <scheme val="minor"/>
    </font>
    <font>
      <b/>
      <sz val="12"/>
      <color rgb="FF000000"/>
      <name val="Arial"/>
      <family val="2"/>
      <scheme val="minor"/>
    </font>
    <font>
      <sz val="10"/>
      <color rgb="FF000000"/>
      <name val="Arial"/>
      <family val="2"/>
      <scheme val="major"/>
    </font>
    <font>
      <b/>
      <sz val="10"/>
      <color rgb="FF000000"/>
      <name val="Arial"/>
      <family val="2"/>
      <scheme val="major"/>
    </font>
    <font>
      <sz val="10"/>
      <color rgb="FFFFFFFF"/>
      <name val="Arial"/>
      <family val="2"/>
      <scheme val="major"/>
    </font>
    <font>
      <b/>
      <sz val="10"/>
      <color rgb="FFFFFFFF"/>
      <name val="Arial"/>
      <family val="2"/>
      <scheme val="major"/>
    </font>
    <font>
      <b/>
      <sz val="11"/>
      <color rgb="FFFFFFFF"/>
      <name val="Calibri"/>
      <family val="2"/>
    </font>
    <font>
      <sz val="11"/>
      <name val="Calibri"/>
      <family val="2"/>
    </font>
    <font>
      <b/>
      <sz val="10"/>
      <name val="Calibri"/>
      <family val="2"/>
    </font>
  </fonts>
  <fills count="18">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9"/>
        <bgColor indexed="64"/>
      </patternFill>
    </fill>
    <fill>
      <patternFill patternType="solid">
        <fgColor rgb="FF00B0F0"/>
        <bgColor indexed="64"/>
      </patternFill>
    </fill>
    <fill>
      <patternFill patternType="solid">
        <fgColor rgb="FFFF0000"/>
        <bgColor indexed="64"/>
      </patternFill>
    </fill>
    <fill>
      <patternFill patternType="solid">
        <fgColor rgb="FF2F5496"/>
        <bgColor indexed="64"/>
      </patternFill>
    </fill>
    <fill>
      <patternFill patternType="solid">
        <fgColor rgb="FFF5F8FF"/>
        <bgColor indexed="64"/>
      </patternFill>
    </fill>
    <fill>
      <patternFill patternType="solid">
        <fgColor rgb="FFD6E4F7"/>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1F5C99"/>
      </patternFill>
    </fill>
    <fill>
      <patternFill patternType="solid">
        <fgColor rgb="FFFFFFFF"/>
      </patternFill>
    </fill>
    <fill>
      <patternFill patternType="solid">
        <fgColor rgb="FFD9E8F5"/>
      </patternFill>
    </fill>
    <fill>
      <patternFill patternType="solid">
        <fgColor rgb="FF2E75B6"/>
      </patternFill>
    </fill>
  </fills>
  <borders count="26">
    <border>
      <left/>
      <right/>
      <top/>
      <bottom/>
      <diagonal/>
    </border>
    <border>
      <left style="thin">
        <color theme="4"/>
      </left>
      <right style="thin">
        <color theme="4"/>
      </right>
      <top style="thin">
        <color theme="4"/>
      </top>
      <bottom style="medium">
        <color theme="4"/>
      </bottom>
      <diagonal/>
    </border>
    <border>
      <left style="thin">
        <color theme="4"/>
      </left>
      <right style="thin">
        <color theme="4"/>
      </right>
      <top style="thin">
        <color theme="4"/>
      </top>
      <bottom style="thin">
        <color theme="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BBBBBB"/>
      </left>
      <right style="medium">
        <color rgb="FFBBBBBB"/>
      </right>
      <top/>
      <bottom style="medium">
        <color rgb="FFBBBBBB"/>
      </bottom>
      <diagonal/>
    </border>
    <border>
      <left/>
      <right style="medium">
        <color rgb="FFBBBBBB"/>
      </right>
      <top/>
      <bottom style="medium">
        <color rgb="FFBBBBBB"/>
      </bottom>
      <diagonal/>
    </border>
    <border>
      <left style="medium">
        <color rgb="FF2F5496"/>
      </left>
      <right style="medium">
        <color rgb="FF2F5496"/>
      </right>
      <top/>
      <bottom style="medium">
        <color rgb="FF2F5496"/>
      </bottom>
      <diagonal/>
    </border>
    <border>
      <left/>
      <right style="medium">
        <color rgb="FF2F5496"/>
      </right>
      <top/>
      <bottom style="medium">
        <color rgb="FF2F5496"/>
      </bottom>
      <diagonal/>
    </border>
    <border>
      <left style="medium">
        <color rgb="FFBBBBBB"/>
      </left>
      <right style="medium">
        <color rgb="FFBBBBBB"/>
      </right>
      <top/>
      <bottom/>
      <diagonal/>
    </border>
    <border>
      <left/>
      <right style="medium">
        <color rgb="FFBBBBBB"/>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medium">
        <color rgb="FF1F5C99"/>
      </left>
      <right style="medium">
        <color rgb="FF1F5C99"/>
      </right>
      <top style="medium">
        <color rgb="FF1F5C99"/>
      </top>
      <bottom style="medium">
        <color rgb="FF1F5C99"/>
      </bottom>
      <diagonal/>
    </border>
    <border>
      <left style="thin">
        <color rgb="FFAAAAAA"/>
      </left>
      <right style="thin">
        <color rgb="FFAAAAAA"/>
      </right>
      <top style="thin">
        <color rgb="FFAAAAAA"/>
      </top>
      <bottom style="thin">
        <color rgb="FFAAAAAA"/>
      </bottom>
      <diagonal/>
    </border>
  </borders>
  <cellStyleXfs count="4">
    <xf numFmtId="0" fontId="0" fillId="0" borderId="0"/>
    <xf numFmtId="9" fontId="6" fillId="0" borderId="0" applyFont="0" applyFill="0" applyBorder="0" applyAlignment="0" applyProtection="0"/>
    <xf numFmtId="43" fontId="6" fillId="0" borderId="0" applyFont="0" applyFill="0" applyBorder="0" applyAlignment="0" applyProtection="0"/>
    <xf numFmtId="0" fontId="1" fillId="0" borderId="0"/>
  </cellStyleXfs>
  <cellXfs count="141">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164" fontId="2" fillId="0" borderId="0" xfId="0" applyNumberFormat="1" applyFont="1" applyAlignment="1">
      <alignment vertical="center"/>
    </xf>
    <xf numFmtId="0" fontId="2" fillId="0" borderId="0" xfId="0" applyFont="1" applyAlignment="1">
      <alignment vertical="center"/>
    </xf>
    <xf numFmtId="0" fontId="0" fillId="0" borderId="0" xfId="0" applyAlignment="1">
      <alignment horizontal="center"/>
    </xf>
    <xf numFmtId="0" fontId="0" fillId="0" borderId="0" xfId="0" applyAlignment="1">
      <alignment horizontal="center" vertical="center"/>
    </xf>
    <xf numFmtId="0" fontId="0" fillId="2" borderId="0" xfId="0" applyFill="1"/>
    <xf numFmtId="0" fontId="0" fillId="3" borderId="0" xfId="0" applyFill="1"/>
    <xf numFmtId="0" fontId="0" fillId="0" borderId="0" xfId="0"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2" fontId="0" fillId="2" borderId="0" xfId="0" applyNumberFormat="1" applyFill="1"/>
    <xf numFmtId="2" fontId="0" fillId="0" borderId="0" xfId="0" applyNumberFormat="1" applyAlignment="1">
      <alignment horizontal="center" vertical="center"/>
    </xf>
    <xf numFmtId="2" fontId="0" fillId="0" borderId="0" xfId="0" applyNumberFormat="1" applyAlignment="1">
      <alignment horizontal="center"/>
    </xf>
    <xf numFmtId="2" fontId="0" fillId="0" borderId="0" xfId="0" applyNumberFormat="1"/>
    <xf numFmtId="2" fontId="0" fillId="3" borderId="0" xfId="0" applyNumberFormat="1" applyFill="1"/>
    <xf numFmtId="2" fontId="0" fillId="0" borderId="0" xfId="0" applyNumberFormat="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2" fontId="0" fillId="0" borderId="0" xfId="1" applyNumberFormat="1" applyFont="1" applyAlignment="1">
      <alignment horizontal="center" vertical="center"/>
    </xf>
    <xf numFmtId="0" fontId="0" fillId="2" borderId="0" xfId="0" applyFill="1" applyAlignment="1">
      <alignment horizontal="center" vertical="center"/>
    </xf>
    <xf numFmtId="2" fontId="0" fillId="2" borderId="0" xfId="0" applyNumberFormat="1" applyFill="1" applyAlignment="1">
      <alignment horizontal="center" vertical="center"/>
    </xf>
    <xf numFmtId="43" fontId="0" fillId="0" borderId="0" xfId="2" applyFont="1" applyAlignment="1">
      <alignment horizontal="center" vertical="center"/>
    </xf>
    <xf numFmtId="0" fontId="3" fillId="0" borderId="1"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2" fillId="6" borderId="2" xfId="0" applyFont="1" applyFill="1" applyBorder="1" applyAlignment="1">
      <alignment horizontal="center" vertical="center"/>
    </xf>
    <xf numFmtId="0" fontId="0" fillId="6" borderId="0" xfId="0" applyFill="1" applyAlignment="1">
      <alignment horizontal="center" vertical="center"/>
    </xf>
    <xf numFmtId="0" fontId="10" fillId="4" borderId="2" xfId="0" applyFont="1" applyFill="1" applyBorder="1" applyAlignment="1">
      <alignment horizontal="center" vertical="center"/>
    </xf>
    <xf numFmtId="0" fontId="10" fillId="0" borderId="2" xfId="0" applyFont="1" applyBorder="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xf>
    <xf numFmtId="2" fontId="0" fillId="6" borderId="0" xfId="0" applyNumberFormat="1" applyFill="1" applyAlignment="1">
      <alignment horizontal="center" vertical="center"/>
    </xf>
    <xf numFmtId="0" fontId="11" fillId="0" borderId="1" xfId="0" applyFont="1" applyBorder="1" applyAlignment="1">
      <alignment horizontal="center" vertical="center"/>
    </xf>
    <xf numFmtId="0" fontId="7" fillId="6" borderId="0" xfId="0" applyFont="1" applyFill="1" applyAlignment="1">
      <alignment horizontal="center" vertical="center"/>
    </xf>
    <xf numFmtId="0" fontId="9" fillId="5" borderId="3" xfId="0" applyFont="1" applyFill="1" applyBorder="1" applyAlignment="1">
      <alignment horizontal="center" vertical="center"/>
    </xf>
    <xf numFmtId="0" fontId="10" fillId="4" borderId="3" xfId="0" applyFont="1" applyFill="1" applyBorder="1" applyAlignment="1">
      <alignment horizontal="center" vertical="center"/>
    </xf>
    <xf numFmtId="0" fontId="10" fillId="0" borderId="3" xfId="0" applyFont="1" applyBorder="1" applyAlignment="1">
      <alignment horizontal="center" vertical="center"/>
    </xf>
    <xf numFmtId="0" fontId="10" fillId="6" borderId="3" xfId="0" applyFont="1" applyFill="1" applyBorder="1" applyAlignment="1">
      <alignment horizontal="center" vertical="center"/>
    </xf>
    <xf numFmtId="0" fontId="10" fillId="6" borderId="2" xfId="0" applyFont="1" applyFill="1" applyBorder="1" applyAlignment="1">
      <alignment horizontal="center"/>
    </xf>
    <xf numFmtId="2" fontId="10" fillId="4" borderId="3" xfId="0" applyNumberFormat="1" applyFont="1" applyFill="1" applyBorder="1" applyAlignment="1">
      <alignment horizontal="center" vertical="center"/>
    </xf>
    <xf numFmtId="2" fontId="10" fillId="0" borderId="3" xfId="0" applyNumberFormat="1" applyFont="1" applyBorder="1" applyAlignment="1">
      <alignment horizontal="center" vertical="center"/>
    </xf>
    <xf numFmtId="0" fontId="10" fillId="4" borderId="3" xfId="0" applyNumberFormat="1" applyFont="1" applyFill="1" applyBorder="1" applyAlignment="1">
      <alignment horizontal="center" vertical="center"/>
    </xf>
    <xf numFmtId="0" fontId="10" fillId="0" borderId="3" xfId="0" applyNumberFormat="1"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xf numFmtId="10" fontId="0" fillId="0" borderId="9" xfId="0" applyNumberFormat="1" applyBorder="1" applyAlignment="1">
      <alignment horizontal="center" vertical="center"/>
    </xf>
    <xf numFmtId="2" fontId="0" fillId="0" borderId="4" xfId="0" applyNumberFormat="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wrapText="1"/>
    </xf>
    <xf numFmtId="2" fontId="0" fillId="0" borderId="11" xfId="0" applyNumberFormat="1" applyBorder="1" applyAlignment="1">
      <alignment horizontal="center" vertical="center"/>
    </xf>
    <xf numFmtId="0" fontId="0" fillId="0" borderId="11" xfId="0" applyBorder="1" applyAlignment="1">
      <alignment horizontal="center" vertical="center"/>
    </xf>
    <xf numFmtId="10" fontId="0" fillId="0" borderId="12" xfId="0" applyNumberFormat="1" applyBorder="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7" fillId="0" borderId="0" xfId="0" applyFont="1"/>
    <xf numFmtId="0" fontId="0" fillId="0" borderId="0" xfId="0" applyAlignment="1">
      <alignment vertical="center"/>
    </xf>
    <xf numFmtId="0" fontId="14" fillId="0" borderId="0" xfId="0" applyFont="1" applyAlignment="1">
      <alignment horizontal="center" vertical="center"/>
    </xf>
    <xf numFmtId="0" fontId="14" fillId="0" borderId="0" xfId="0" applyFont="1"/>
    <xf numFmtId="0" fontId="14" fillId="8" borderId="0" xfId="0"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xf numFmtId="0" fontId="15" fillId="9" borderId="15"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4" fillId="10" borderId="13" xfId="0" applyFont="1" applyFill="1" applyBorder="1" applyAlignment="1">
      <alignment horizontal="center" vertical="center" wrapText="1"/>
    </xf>
    <xf numFmtId="0" fontId="14" fillId="10" borderId="14" xfId="0" applyFont="1" applyFill="1" applyBorder="1" applyAlignment="1">
      <alignment horizontal="center" vertical="center"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0" fillId="0" borderId="0" xfId="0" applyNumberFormat="1"/>
    <xf numFmtId="2" fontId="14" fillId="0" borderId="0" xfId="0" applyNumberFormat="1" applyFont="1"/>
    <xf numFmtId="2" fontId="15" fillId="9" borderId="16" xfId="0" applyNumberFormat="1" applyFont="1" applyFill="1" applyBorder="1" applyAlignment="1">
      <alignment horizontal="center" vertical="center" wrapText="1"/>
    </xf>
    <xf numFmtId="2" fontId="16" fillId="11" borderId="14" xfId="0" applyNumberFormat="1" applyFont="1" applyFill="1" applyBorder="1" applyAlignment="1">
      <alignment horizontal="center" vertical="center" wrapText="1"/>
    </xf>
    <xf numFmtId="2" fontId="16" fillId="11" borderId="18" xfId="0" applyNumberFormat="1" applyFont="1" applyFill="1" applyBorder="1" applyAlignment="1">
      <alignment horizontal="center" vertical="center" wrapText="1"/>
    </xf>
    <xf numFmtId="2" fontId="14" fillId="0" borderId="18" xfId="0" applyNumberFormat="1" applyFont="1" applyBorder="1" applyAlignment="1">
      <alignment horizontal="center" vertical="center" wrapText="1"/>
    </xf>
    <xf numFmtId="0" fontId="14" fillId="0" borderId="18" xfId="0" applyNumberFormat="1" applyFont="1" applyBorder="1" applyAlignment="1">
      <alignment horizontal="center" vertical="center" wrapText="1"/>
    </xf>
    <xf numFmtId="0" fontId="15" fillId="9" borderId="15" xfId="0" applyNumberFormat="1" applyFont="1" applyFill="1" applyBorder="1" applyAlignment="1">
      <alignment horizontal="center" vertical="center" wrapText="1"/>
    </xf>
    <xf numFmtId="0" fontId="14" fillId="0" borderId="0" xfId="0" applyFont="1" applyAlignment="1">
      <alignment horizontal="center" vertical="center" wrapText="1"/>
    </xf>
    <xf numFmtId="2" fontId="14" fillId="0" borderId="0" xfId="0" applyNumberFormat="1" applyFont="1" applyAlignment="1">
      <alignment horizontal="center" vertical="center" wrapText="1"/>
    </xf>
    <xf numFmtId="0" fontId="14" fillId="0" borderId="0" xfId="0" applyNumberFormat="1" applyFont="1" applyAlignment="1">
      <alignment horizontal="center" vertical="center" wrapText="1"/>
    </xf>
    <xf numFmtId="0" fontId="14" fillId="2" borderId="0" xfId="0" applyNumberFormat="1" applyFont="1" applyFill="1" applyAlignment="1">
      <alignment horizontal="center" vertical="center" wrapText="1"/>
    </xf>
    <xf numFmtId="0" fontId="13" fillId="0" borderId="0" xfId="0" applyFont="1"/>
    <xf numFmtId="0" fontId="7" fillId="2" borderId="0" xfId="0" applyFont="1" applyFill="1"/>
    <xf numFmtId="0" fontId="7" fillId="12" borderId="0" xfId="0" applyFont="1" applyFill="1"/>
    <xf numFmtId="0" fontId="0" fillId="12" borderId="0" xfId="0" applyFill="1"/>
    <xf numFmtId="0" fontId="18" fillId="2" borderId="0" xfId="0" applyFont="1" applyFill="1"/>
    <xf numFmtId="0" fontId="7" fillId="0" borderId="0" xfId="0" applyFont="1" applyAlignment="1">
      <alignment vertical="center" wrapText="1"/>
    </xf>
    <xf numFmtId="0" fontId="13" fillId="0" borderId="0" xfId="0" applyFont="1" applyAlignment="1">
      <alignment vertical="center" wrapText="1"/>
    </xf>
    <xf numFmtId="0" fontId="7" fillId="0" borderId="0" xfId="0" applyFont="1" applyAlignment="1">
      <alignment wrapText="1"/>
    </xf>
    <xf numFmtId="0" fontId="7" fillId="0" borderId="0" xfId="0" applyFont="1" applyAlignment="1">
      <alignment horizontal="right"/>
    </xf>
    <xf numFmtId="0" fontId="13" fillId="0" borderId="0" xfId="0" applyFont="1" applyAlignment="1">
      <alignment horizontal="right"/>
    </xf>
    <xf numFmtId="0" fontId="13" fillId="0" borderId="0" xfId="0" applyFont="1" applyAlignment="1">
      <alignment horizontal="left"/>
    </xf>
    <xf numFmtId="0" fontId="0" fillId="0" borderId="0" xfId="0" applyAlignment="1">
      <alignment horizontal="left"/>
    </xf>
    <xf numFmtId="0" fontId="19" fillId="2" borderId="0" xfId="0" applyFont="1" applyFill="1" applyAlignment="1">
      <alignment wrapText="1"/>
    </xf>
    <xf numFmtId="0" fontId="20" fillId="0" borderId="0" xfId="0" applyFont="1"/>
    <xf numFmtId="0" fontId="21" fillId="0" borderId="0" xfId="0" applyFont="1"/>
    <xf numFmtId="0" fontId="22" fillId="9" borderId="15" xfId="0" applyFont="1" applyFill="1" applyBorder="1" applyAlignment="1">
      <alignment horizontal="center" vertical="center" wrapText="1"/>
    </xf>
    <xf numFmtId="0" fontId="22" fillId="9" borderId="16" xfId="0" applyFont="1" applyFill="1" applyBorder="1" applyAlignment="1">
      <alignment horizontal="center" vertical="center" wrapText="1"/>
    </xf>
    <xf numFmtId="0" fontId="20" fillId="10" borderId="14" xfId="0" applyFont="1" applyFill="1" applyBorder="1" applyAlignment="1">
      <alignment horizontal="center" vertical="center" wrapText="1"/>
    </xf>
    <xf numFmtId="0" fontId="20" fillId="11" borderId="14" xfId="0" applyFont="1" applyFill="1" applyBorder="1" applyAlignment="1">
      <alignment horizontal="center" vertical="center" wrapText="1"/>
    </xf>
    <xf numFmtId="0" fontId="20"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20" fillId="10" borderId="13" xfId="0" applyFont="1" applyFill="1" applyBorder="1" applyAlignment="1">
      <alignment horizontal="center" vertical="center" wrapText="1"/>
    </xf>
    <xf numFmtId="0" fontId="20" fillId="11" borderId="18" xfId="0" applyFont="1" applyFill="1" applyBorder="1" applyAlignment="1">
      <alignment horizontal="center" vertical="center" wrapText="1"/>
    </xf>
    <xf numFmtId="0" fontId="8" fillId="0" borderId="0" xfId="0" applyFont="1"/>
    <xf numFmtId="0" fontId="23" fillId="9" borderId="16" xfId="0" applyFont="1" applyFill="1" applyBorder="1" applyAlignment="1">
      <alignment horizontal="center" vertical="center" wrapText="1"/>
    </xf>
    <xf numFmtId="0" fontId="21" fillId="11" borderId="14" xfId="0" applyFont="1" applyFill="1" applyBorder="1" applyAlignment="1">
      <alignment horizontal="center" vertical="center" wrapText="1"/>
    </xf>
    <xf numFmtId="0" fontId="21" fillId="11" borderId="18" xfId="0" applyFont="1" applyFill="1" applyBorder="1" applyAlignment="1">
      <alignment horizontal="center" vertical="center" wrapText="1"/>
    </xf>
    <xf numFmtId="0" fontId="14" fillId="2" borderId="0" xfId="0" applyFont="1" applyFill="1"/>
    <xf numFmtId="0" fontId="7" fillId="13" borderId="19" xfId="0" applyFont="1" applyFill="1" applyBorder="1" applyAlignment="1">
      <alignment horizontal="center" vertical="center"/>
    </xf>
    <xf numFmtId="0" fontId="7" fillId="13" borderId="20" xfId="0" applyFont="1" applyFill="1" applyBorder="1" applyAlignment="1">
      <alignment horizontal="center" vertical="center"/>
    </xf>
    <xf numFmtId="0" fontId="0" fillId="13" borderId="19" xfId="0" applyFill="1" applyBorder="1" applyAlignment="1">
      <alignment horizontal="center" vertical="center"/>
    </xf>
    <xf numFmtId="0" fontId="7" fillId="13" borderId="21" xfId="0" applyFont="1" applyFill="1" applyBorder="1" applyAlignment="1">
      <alignment horizontal="center" vertical="center"/>
    </xf>
    <xf numFmtId="0" fontId="7" fillId="13" borderId="22" xfId="0" applyFont="1" applyFill="1" applyBorder="1" applyAlignment="1">
      <alignment horizontal="center" vertical="center"/>
    </xf>
    <xf numFmtId="0" fontId="7" fillId="13" borderId="23" xfId="0" applyFont="1" applyFill="1" applyBorder="1" applyAlignment="1">
      <alignment horizontal="center" vertical="center"/>
    </xf>
    <xf numFmtId="0" fontId="24" fillId="14" borderId="24" xfId="0" applyFont="1" applyFill="1" applyBorder="1" applyAlignment="1">
      <alignment horizontal="center" vertical="center" wrapText="1"/>
    </xf>
    <xf numFmtId="0" fontId="25" fillId="15" borderId="25" xfId="0" applyFont="1" applyFill="1" applyBorder="1" applyAlignment="1">
      <alignment horizontal="center" vertical="center" wrapText="1"/>
    </xf>
    <xf numFmtId="0" fontId="25" fillId="15" borderId="25" xfId="0" applyFont="1" applyFill="1" applyBorder="1" applyAlignment="1">
      <alignment horizontal="left" vertical="center" wrapText="1"/>
    </xf>
    <xf numFmtId="0" fontId="25" fillId="16" borderId="25" xfId="0" applyFont="1" applyFill="1" applyBorder="1" applyAlignment="1">
      <alignment horizontal="center" vertical="center" wrapText="1"/>
    </xf>
    <xf numFmtId="0" fontId="25" fillId="16" borderId="25" xfId="0" applyFont="1" applyFill="1" applyBorder="1" applyAlignment="1">
      <alignment horizontal="left" vertical="center" wrapText="1"/>
    </xf>
    <xf numFmtId="0" fontId="24" fillId="17" borderId="24" xfId="0" applyFont="1" applyFill="1" applyBorder="1" applyAlignment="1">
      <alignment horizontal="center" vertical="center" wrapText="1"/>
    </xf>
    <xf numFmtId="2" fontId="25" fillId="15" borderId="25" xfId="0" applyNumberFormat="1" applyFont="1" applyFill="1" applyBorder="1" applyAlignment="1">
      <alignment horizontal="center" vertical="center" wrapText="1"/>
    </xf>
    <xf numFmtId="0" fontId="0" fillId="0" borderId="0" xfId="0" applyAlignment="1">
      <alignment wrapText="1"/>
    </xf>
    <xf numFmtId="0" fontId="26" fillId="7" borderId="0" xfId="0" applyFont="1" applyFill="1" applyAlignment="1">
      <alignment horizontal="left" vertical="center" wrapText="1"/>
    </xf>
    <xf numFmtId="0" fontId="0" fillId="7" borderId="0" xfId="0" applyFill="1" applyAlignment="1">
      <alignment horizontal="center" vertical="center" wrapText="1"/>
    </xf>
    <xf numFmtId="2" fontId="24" fillId="17" borderId="24" xfId="0" applyNumberFormat="1" applyFont="1" applyFill="1" applyBorder="1" applyAlignment="1">
      <alignment horizontal="center" vertical="center" wrapText="1"/>
    </xf>
    <xf numFmtId="0" fontId="24" fillId="14" borderId="24" xfId="3" applyFont="1" applyFill="1" applyBorder="1" applyAlignment="1">
      <alignment horizontal="center" vertical="center" wrapText="1"/>
    </xf>
    <xf numFmtId="0" fontId="25" fillId="15" borderId="25" xfId="3" applyFont="1" applyFill="1" applyBorder="1" applyAlignment="1">
      <alignment horizontal="center" vertical="center" wrapText="1"/>
    </xf>
    <xf numFmtId="0" fontId="25" fillId="16" borderId="25" xfId="3" applyFont="1" applyFill="1" applyBorder="1" applyAlignment="1">
      <alignment horizontal="center" vertical="center" wrapText="1"/>
    </xf>
    <xf numFmtId="0" fontId="24" fillId="17" borderId="24" xfId="3" applyFont="1" applyFill="1" applyBorder="1" applyAlignment="1">
      <alignment horizontal="center" vertical="center" wrapText="1"/>
    </xf>
    <xf numFmtId="0" fontId="25" fillId="15" borderId="25" xfId="3" applyFont="1" applyFill="1" applyBorder="1" applyAlignment="1">
      <alignment horizontal="left" vertical="center"/>
    </xf>
    <xf numFmtId="0" fontId="25" fillId="16" borderId="25" xfId="3" applyFont="1" applyFill="1" applyBorder="1" applyAlignment="1">
      <alignment horizontal="left" vertical="center"/>
    </xf>
    <xf numFmtId="2" fontId="25" fillId="15" borderId="25" xfId="3" applyNumberFormat="1" applyFont="1" applyFill="1" applyBorder="1" applyAlignment="1">
      <alignment horizontal="center" vertical="center" wrapText="1"/>
    </xf>
    <xf numFmtId="2" fontId="24" fillId="17" borderId="24" xfId="3" applyNumberFormat="1" applyFont="1" applyFill="1" applyBorder="1" applyAlignment="1">
      <alignment horizontal="center" vertical="center" wrapText="1"/>
    </xf>
    <xf numFmtId="0" fontId="12" fillId="2" borderId="0" xfId="0" applyFont="1" applyFill="1" applyAlignment="1">
      <alignment horizontal="center"/>
    </xf>
  </cellXfs>
  <cellStyles count="4">
    <cellStyle name="Millares" xfId="2" builtinId="3"/>
    <cellStyle name="Normal" xfId="0" builtinId="0"/>
    <cellStyle name="Normal 2" xfId="3" xr:uid="{00816FF6-B9F6-4F10-867F-EBCC1E4DE1FA}"/>
    <cellStyle name="Porcentaje" xfId="1" builtinId="5"/>
  </cellStyles>
  <dxfs count="168">
    <dxf>
      <border outline="0">
        <left style="thin">
          <color theme="4" tint="0.39997558519241921"/>
        </left>
        <right style="thin">
          <color theme="4" tint="0.39997558519241921"/>
        </right>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center" vertical="center" textRotation="0" wrapText="0" indent="0" justifyLastLine="0" shrinkToFit="0" readingOrder="0"/>
    </dxf>
    <dxf>
      <border outline="0">
        <left style="thin">
          <color theme="4" tint="0.39997558519241921"/>
        </left>
        <right style="thin">
          <color theme="4" tint="0.39997558519241921"/>
        </right>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center" vertical="center" textRotation="0" wrapText="0" indent="0" justifyLastLine="0" shrinkToFit="0" readingOrder="0"/>
    </dxf>
    <dxf>
      <border outline="0">
        <left style="thin">
          <color theme="4" tint="0.39997558519241921"/>
        </left>
        <right style="thin">
          <color theme="4" tint="0.39997558519241921"/>
        </right>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center" vertical="center" textRotation="0" wrapText="0" indent="0" justifyLastLine="0" shrinkToFit="0" readingOrder="0"/>
    </dxf>
    <dxf>
      <border outline="0">
        <left style="thin">
          <color theme="4" tint="0.39997558519241921"/>
        </left>
        <right style="thin">
          <color theme="4" tint="0.39997558519241921"/>
        </right>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rial"/>
        <family val="2"/>
        <scheme val="minor"/>
      </font>
      <numFmt numFmtId="2" formatCode="0.00"/>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rial"/>
        <family val="2"/>
        <scheme val="minor"/>
      </font>
      <numFmt numFmtId="2" formatCode="0.00"/>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rial"/>
        <family val="2"/>
        <scheme val="minor"/>
      </font>
      <numFmt numFmtId="2" formatCode="0.00"/>
      <alignment horizontal="center" vertical="center" textRotation="0" wrapText="0" indent="0" justifyLastLine="0" shrinkToFit="0" readingOrder="0"/>
      <border diagonalUp="0" diagonalDown="0" outline="0">
        <left/>
        <right/>
        <top style="thin">
          <color theme="4"/>
        </top>
        <bottom/>
      </border>
    </dxf>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outline="0">
        <left/>
        <right/>
        <top style="thin">
          <color theme="4"/>
        </top>
        <bottom/>
      </border>
    </dxf>
    <dxf>
      <alignment horizontal="center" vertical="center" textRotation="0" wrapText="0" indent="0" justifyLastLine="0" shrinkToFit="0" readingOrder="0"/>
    </dxf>
    <dxf>
      <border outline="0">
        <right style="thin">
          <color theme="4"/>
        </right>
        <top style="thin">
          <color theme="4"/>
        </top>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0"/>
        <color rgb="FF000000"/>
        <name val="Arial"/>
        <scheme val="minor"/>
      </font>
      <alignment horizontal="center" vertical="center"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9"/>
        <color rgb="FF000000"/>
        <name val="Times New Roman"/>
        <family val="1"/>
        <scheme val="none"/>
      </font>
      <fill>
        <patternFill patternType="solid">
          <fgColor indexed="64"/>
          <bgColor rgb="FFD6E4F7"/>
        </patternFill>
      </fill>
      <alignment horizontal="center" vertical="center" textRotation="0" wrapText="1" indent="0" justifyLastLine="0" shrinkToFit="0" readingOrder="0"/>
      <border diagonalUp="0" diagonalDown="0" outline="0">
        <left/>
        <right style="medium">
          <color rgb="FFBBBBBB"/>
        </right>
        <top/>
        <bottom style="medium">
          <color rgb="FFBBBBBB"/>
        </bottom>
      </border>
    </dxf>
    <dxf>
      <font>
        <b/>
        <i val="0"/>
        <strike val="0"/>
        <condense val="0"/>
        <extend val="0"/>
        <outline val="0"/>
        <shadow val="0"/>
        <u val="none"/>
        <vertAlign val="baseline"/>
        <sz val="9"/>
        <color rgb="FF000000"/>
        <name val="Times New Roman"/>
        <family val="2"/>
        <scheme val="none"/>
      </font>
      <fill>
        <patternFill patternType="solid">
          <fgColor indexed="64"/>
          <bgColor rgb="FFD6E4F7"/>
        </patternFill>
      </fill>
      <alignment horizontal="center" vertical="center" textRotation="0" wrapText="1" indent="0" justifyLastLine="0" shrinkToFit="0" readingOrder="0"/>
      <border diagonalUp="0" diagonalDown="0" outline="0">
        <left/>
        <right style="medium">
          <color rgb="FFBBBBBB"/>
        </right>
        <top/>
        <bottom style="medium">
          <color rgb="FFBBBBBB"/>
        </bottom>
      </border>
    </dxf>
    <dxf>
      <border outline="0">
        <top style="medium">
          <color rgb="FF2F5496"/>
        </top>
      </border>
    </dxf>
    <dxf>
      <border outline="0">
        <bottom style="medium">
          <color rgb="FF2F5496"/>
        </bottom>
      </border>
    </dxf>
    <dxf>
      <font>
        <b/>
        <i val="0"/>
        <strike val="0"/>
        <condense val="0"/>
        <extend val="0"/>
        <outline val="0"/>
        <shadow val="0"/>
        <u val="none"/>
        <vertAlign val="baseline"/>
        <sz val="9"/>
        <color rgb="FFFFFFFF"/>
        <name val="Times New Roman"/>
        <family val="1"/>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medium">
          <color rgb="FF2F5496"/>
        </left>
        <right style="medium">
          <color rgb="FF2F5496"/>
        </right>
        <top/>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family val="2"/>
        <scheme val="maj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family val="2"/>
        <scheme val="major"/>
      </font>
      <numFmt numFmtId="0" formatCode="General"/>
      <alignment horizontal="center" vertical="center" textRotation="0" wrapText="1" indent="0" justifyLastLine="0" shrinkToFit="0" readingOrder="0"/>
      <border diagonalUp="0" diagonalDown="0" outline="0">
        <left/>
        <right style="medium">
          <color rgb="FFBBBBBB"/>
        </right>
        <top/>
        <bottom style="medium">
          <color rgb="FFBBBBBB"/>
        </bottom>
      </border>
    </dxf>
    <dxf>
      <font>
        <b/>
        <i val="0"/>
        <strike val="0"/>
        <condense val="0"/>
        <extend val="0"/>
        <outline val="0"/>
        <shadow val="0"/>
        <u val="none"/>
        <vertAlign val="baseline"/>
        <sz val="11"/>
        <color rgb="FF000000"/>
        <name val="Arial"/>
        <family val="2"/>
        <scheme val="major"/>
      </font>
      <numFmt numFmtId="2" formatCode="0.00"/>
      <fill>
        <patternFill patternType="solid">
          <fgColor indexed="64"/>
          <bgColor rgb="FFD6E4F7"/>
        </patternFill>
      </fill>
      <alignment horizontal="center" vertical="center" textRotation="0" wrapText="1" indent="0" justifyLastLine="0" shrinkToFit="0" readingOrder="0"/>
      <border diagonalUp="0" diagonalDown="0" outline="0">
        <left/>
        <right style="medium">
          <color rgb="FFBBBBBB"/>
        </right>
        <top/>
        <bottom style="medium">
          <color rgb="FFBBBBBB"/>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border diagonalUp="0" diagonalDown="0" outline="0">
        <left/>
        <right/>
        <top/>
        <bottom style="medium">
          <color rgb="FFBBBBBB"/>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border diagonalUp="0" diagonalDown="0" outline="0">
        <left/>
        <right style="medium">
          <color rgb="FFBBBBBB"/>
        </right>
        <top/>
        <bottom style="medium">
          <color rgb="FFBBBBBB"/>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border diagonalUp="0" diagonalDown="0" outline="0">
        <left/>
        <right style="medium">
          <color rgb="FFBBBBBB"/>
        </right>
        <top/>
        <bottom style="medium">
          <color rgb="FFBBBBBB"/>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border diagonalUp="0" diagonalDown="0" outline="0">
        <left/>
        <right style="medium">
          <color rgb="FFBBBBBB"/>
        </right>
        <top/>
        <bottom style="medium">
          <color rgb="FFBBBBBB"/>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border diagonalUp="0" diagonalDown="0" outline="0">
        <left/>
        <right style="medium">
          <color rgb="FFBBBBBB"/>
        </right>
        <top/>
        <bottom style="medium">
          <color rgb="FFBBBBBB"/>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border diagonalUp="0" diagonalDown="0" outline="0">
        <left/>
        <right style="medium">
          <color rgb="FFBBBBBB"/>
        </right>
        <top/>
        <bottom style="medium">
          <color rgb="FFBBBBBB"/>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border diagonalUp="0" diagonalDown="0" outline="0">
        <left/>
        <right style="medium">
          <color rgb="FFBBBBBB"/>
        </right>
        <top/>
        <bottom style="medium">
          <color rgb="FFBBBBBB"/>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border diagonalUp="0" diagonalDown="0" outline="0">
        <left/>
        <right style="medium">
          <color rgb="FFBBBBBB"/>
        </right>
        <top/>
        <bottom style="medium">
          <color rgb="FFBBBBBB"/>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border diagonalUp="0" diagonalDown="0" outline="0">
        <left/>
        <right style="medium">
          <color rgb="FFBBBBBB"/>
        </right>
        <top/>
        <bottom style="medium">
          <color rgb="FFBBBBBB"/>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border diagonalUp="0" diagonalDown="0" outline="0">
        <left style="medium">
          <color rgb="FFBBBBBB"/>
        </left>
        <right style="medium">
          <color rgb="FFBBBBBB"/>
        </right>
        <top/>
        <bottom style="medium">
          <color rgb="FFBBBBBB"/>
        </bottom>
      </border>
    </dxf>
    <dxf>
      <border outline="0">
        <top style="medium">
          <color rgb="FF2F5496"/>
        </top>
        <bottom style="medium">
          <color rgb="FFBBBBBB"/>
        </bottom>
      </border>
    </dxf>
    <dxf>
      <font>
        <b val="0"/>
        <i val="0"/>
        <strike val="0"/>
        <condense val="0"/>
        <extend val="0"/>
        <outline val="0"/>
        <shadow val="0"/>
        <u val="none"/>
        <vertAlign val="baseline"/>
        <sz val="11"/>
        <color rgb="FF000000"/>
        <name val="Arial"/>
        <family val="2"/>
        <scheme val="major"/>
      </font>
      <alignment horizontal="center" vertical="center" textRotation="0" wrapText="1" indent="0" justifyLastLine="0" shrinkToFit="0" readingOrder="0"/>
    </dxf>
    <dxf>
      <border outline="0">
        <bottom style="medium">
          <color rgb="FF2F5496"/>
        </bottom>
      </border>
    </dxf>
    <dxf>
      <font>
        <b/>
        <i val="0"/>
        <strike val="0"/>
        <condense val="0"/>
        <extend val="0"/>
        <outline val="0"/>
        <shadow val="0"/>
        <u val="none"/>
        <vertAlign val="baseline"/>
        <sz val="11"/>
        <color rgb="FFFFFFFF"/>
        <name val="Arial"/>
        <family val="2"/>
        <scheme val="major"/>
      </font>
      <fill>
        <patternFill patternType="solid">
          <fgColor indexed="64"/>
          <bgColor rgb="FF2F5496"/>
        </patternFill>
      </fill>
      <alignment horizontal="center" vertical="center" textRotation="0" wrapText="1" indent="0" justifyLastLine="0" shrinkToFit="0" readingOrder="0"/>
      <border diagonalUp="0" diagonalDown="0" outline="0">
        <left style="medium">
          <color rgb="FF2F5496"/>
        </left>
        <right style="medium">
          <color rgb="FF2F5496"/>
        </right>
        <top/>
        <bottom/>
      </border>
    </dxf>
    <dxf>
      <font>
        <strike val="0"/>
        <outline val="0"/>
        <shadow val="0"/>
        <u val="none"/>
        <vertAlign val="baseline"/>
        <sz val="11"/>
        <name val="Arial"/>
        <family val="2"/>
        <scheme val="maj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167"/>
      <tableStyleElement type="headerRow" dxfId="166"/>
      <tableStyleElement type="firstRowStripe" dxfId="165"/>
      <tableStyleElement type="secondRowStripe" dxfId="1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1</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1"/>
        <c:ser>
          <c:idx val="0"/>
          <c:order val="0"/>
          <c:tx>
            <c:strRef>
              <c:f>'[1]REACTIVO 1'!$C$4</c:f>
              <c:strCache>
                <c:ptCount val="1"/>
                <c:pt idx="0">
                  <c:v>FA</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B2D6-42C8-BA94-1F545BED1DB0}"/>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B2D6-42C8-BA94-1F545BED1DB0}"/>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B2D6-42C8-BA94-1F545BED1DB0}"/>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B2D6-42C8-BA94-1F545BED1DB0}"/>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B2D6-42C8-BA94-1F545BED1DB0}"/>
              </c:ext>
            </c:extLst>
          </c:dPt>
          <c:dPt>
            <c:idx val="5"/>
            <c:invertIfNegative val="1"/>
            <c:bubble3D val="0"/>
            <c:spPr>
              <a:solidFill>
                <a:schemeClr val="accent6"/>
              </a:solidFill>
              <a:ln>
                <a:noFill/>
              </a:ln>
              <a:effectLst/>
            </c:spPr>
            <c:extLst>
              <c:ext xmlns:c16="http://schemas.microsoft.com/office/drawing/2014/chart" uri="{C3380CC4-5D6E-409C-BE32-E72D297353CC}">
                <c16:uniqueId val="{0000000B-B2D6-42C8-BA94-1F545BED1DB0}"/>
              </c:ext>
            </c:extLst>
          </c:dPt>
          <c:dPt>
            <c:idx val="6"/>
            <c:invertIfNegative val="1"/>
            <c:bubble3D val="0"/>
            <c:spPr>
              <a:solidFill>
                <a:schemeClr val="accent1">
                  <a:lumMod val="60000"/>
                </a:schemeClr>
              </a:solidFill>
              <a:ln>
                <a:noFill/>
              </a:ln>
              <a:effectLst/>
            </c:spPr>
            <c:extLst>
              <c:ext xmlns:c16="http://schemas.microsoft.com/office/drawing/2014/chart" uri="{C3380CC4-5D6E-409C-BE32-E72D297353CC}">
                <c16:uniqueId val="{0000000D-B2D6-42C8-BA94-1F545BED1DB0}"/>
              </c:ext>
            </c:extLst>
          </c:dPt>
          <c:dPt>
            <c:idx val="7"/>
            <c:invertIfNegative val="1"/>
            <c:bubble3D val="0"/>
            <c:spPr>
              <a:solidFill>
                <a:schemeClr val="accent2">
                  <a:lumMod val="60000"/>
                </a:schemeClr>
              </a:solidFill>
              <a:ln>
                <a:noFill/>
              </a:ln>
              <a:effectLst/>
            </c:spPr>
            <c:extLst>
              <c:ext xmlns:c16="http://schemas.microsoft.com/office/drawing/2014/chart" uri="{C3380CC4-5D6E-409C-BE32-E72D297353CC}">
                <c16:uniqueId val="{0000000F-B2D6-42C8-BA94-1F545BED1DB0}"/>
              </c:ext>
            </c:extLst>
          </c:dPt>
          <c:dPt>
            <c:idx val="8"/>
            <c:invertIfNegative val="1"/>
            <c:bubble3D val="0"/>
            <c:spPr>
              <a:solidFill>
                <a:schemeClr val="accent3">
                  <a:lumMod val="60000"/>
                </a:schemeClr>
              </a:solidFill>
              <a:ln>
                <a:noFill/>
              </a:ln>
              <a:effectLst/>
            </c:spPr>
            <c:extLst>
              <c:ext xmlns:c16="http://schemas.microsoft.com/office/drawing/2014/chart" uri="{C3380CC4-5D6E-409C-BE32-E72D297353CC}">
                <c16:uniqueId val="{00000011-B2D6-42C8-BA94-1F545BED1DB0}"/>
              </c:ext>
            </c:extLst>
          </c:dPt>
          <c:cat>
            <c:strRef>
              <c:f>'[1]REACTIVO 1'!$B$5:$B$13</c:f>
              <c:strCache>
                <c:ptCount val="9"/>
                <c:pt idx="0">
                  <c:v>Primer semestre</c:v>
                </c:pt>
                <c:pt idx="1">
                  <c:v>Segundo semestre</c:v>
                </c:pt>
                <c:pt idx="2">
                  <c:v>Tercer semestre</c:v>
                </c:pt>
                <c:pt idx="3">
                  <c:v>Cuarto semestre</c:v>
                </c:pt>
                <c:pt idx="4">
                  <c:v>Quinto semestre</c:v>
                </c:pt>
                <c:pt idx="5">
                  <c:v>Sexto semestre</c:v>
                </c:pt>
                <c:pt idx="6">
                  <c:v>Séptimo semestre</c:v>
                </c:pt>
                <c:pt idx="7">
                  <c:v>Octavo semestre</c:v>
                </c:pt>
                <c:pt idx="8">
                  <c:v>Noveno semestre o superior</c:v>
                </c:pt>
              </c:strCache>
            </c:strRef>
          </c:cat>
          <c:val>
            <c:numRef>
              <c:f>'[1]REACTIVO 1'!$C$5:$C$13</c:f>
              <c:numCache>
                <c:formatCode>General</c:formatCode>
                <c:ptCount val="9"/>
                <c:pt idx="0">
                  <c:v>5</c:v>
                </c:pt>
                <c:pt idx="1">
                  <c:v>17</c:v>
                </c:pt>
                <c:pt idx="2">
                  <c:v>27</c:v>
                </c:pt>
                <c:pt idx="3">
                  <c:v>33</c:v>
                </c:pt>
                <c:pt idx="4">
                  <c:v>20</c:v>
                </c:pt>
                <c:pt idx="5">
                  <c:v>33</c:v>
                </c:pt>
                <c:pt idx="6">
                  <c:v>18</c:v>
                </c:pt>
                <c:pt idx="7">
                  <c:v>37</c:v>
                </c:pt>
                <c:pt idx="8">
                  <c:v>45</c:v>
                </c:pt>
              </c:numCache>
            </c:numRef>
          </c:val>
          <c:extLst>
            <c:ext xmlns:c16="http://schemas.microsoft.com/office/drawing/2014/chart" uri="{C3380CC4-5D6E-409C-BE32-E72D297353CC}">
              <c16:uniqueId val="{00000000-AD1F-4EE1-8B25-D9FB7DE9895B}"/>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_tradnl"/>
              <a:t>REACTIVO 1</a:t>
            </a:r>
          </a:p>
        </c:rich>
      </c:tx>
      <c:layout>
        <c:manualLayout>
          <c:xMode val="edge"/>
          <c:yMode val="edge"/>
          <c:x val="0.62698680555555553"/>
          <c:y val="0"/>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_tradnl"/>
        </a:p>
      </c:txPr>
    </c:title>
    <c:autoTitleDeleted val="0"/>
    <c:plotArea>
      <c:layout/>
      <c:pieChart>
        <c:varyColors val="1"/>
        <c:ser>
          <c:idx val="0"/>
          <c:order val="0"/>
          <c:tx>
            <c:strRef>
              <c:f>'[1]REACTIVO 1'!$E$4</c:f>
              <c:strCache>
                <c:ptCount val="1"/>
                <c:pt idx="0">
                  <c:v>Porcentaje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33-4CE7-B17A-35B905F0333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33-4CE7-B17A-35B905F0333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33-4CE7-B17A-35B905F0333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B33-4CE7-B17A-35B905F0333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B33-4CE7-B17A-35B905F0333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B33-4CE7-B17A-35B905F0333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B33-4CE7-B17A-35B905F0333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B33-4CE7-B17A-35B905F03334}"/>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B33-4CE7-B17A-35B905F0333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_tradnl"/>
              </a:p>
            </c:txPr>
            <c:dLblPos val="ctr"/>
            <c:showLegendKey val="1"/>
            <c:showVal val="1"/>
            <c:showCatName val="1"/>
            <c:showSerName val="1"/>
            <c:showPercent val="1"/>
            <c:showBubbleSize val="1"/>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'[1]REACTIVO 1'!$B$5:$B$13</c:f>
              <c:strCache>
                <c:ptCount val="9"/>
                <c:pt idx="0">
                  <c:v>Primer semestre</c:v>
                </c:pt>
                <c:pt idx="1">
                  <c:v>Segundo semestre</c:v>
                </c:pt>
                <c:pt idx="2">
                  <c:v>Tercer semestre</c:v>
                </c:pt>
                <c:pt idx="3">
                  <c:v>Cuarto semestre</c:v>
                </c:pt>
                <c:pt idx="4">
                  <c:v>Quinto semestre</c:v>
                </c:pt>
                <c:pt idx="5">
                  <c:v>Sexto semestre</c:v>
                </c:pt>
                <c:pt idx="6">
                  <c:v>Séptimo semestre</c:v>
                </c:pt>
                <c:pt idx="7">
                  <c:v>Octavo semestre</c:v>
                </c:pt>
                <c:pt idx="8">
                  <c:v>Noveno semestre o superior</c:v>
                </c:pt>
              </c:strCache>
            </c:strRef>
          </c:cat>
          <c:val>
            <c:numRef>
              <c:f>'[1]REACTIVO 1'!$E$5:$E$13</c:f>
              <c:numCache>
                <c:formatCode>General</c:formatCode>
                <c:ptCount val="9"/>
                <c:pt idx="0">
                  <c:v>2.13</c:v>
                </c:pt>
                <c:pt idx="1">
                  <c:v>7.23</c:v>
                </c:pt>
                <c:pt idx="2">
                  <c:v>11.49</c:v>
                </c:pt>
                <c:pt idx="3">
                  <c:v>14.04</c:v>
                </c:pt>
                <c:pt idx="4">
                  <c:v>8.51</c:v>
                </c:pt>
                <c:pt idx="5">
                  <c:v>14.04</c:v>
                </c:pt>
                <c:pt idx="6">
                  <c:v>7.66</c:v>
                </c:pt>
                <c:pt idx="7">
                  <c:v>15.74</c:v>
                </c:pt>
                <c:pt idx="8">
                  <c:v>19.149999999999999</c:v>
                </c:pt>
              </c:numCache>
            </c:numRef>
          </c:val>
          <c:extLst>
            <c:ext xmlns:c16="http://schemas.microsoft.com/office/drawing/2014/chart" uri="{C3380CC4-5D6E-409C-BE32-E72D297353CC}">
              <c16:uniqueId val="{00000000-32D5-4392-A063-E971EAE61C76}"/>
            </c:ext>
          </c:extLst>
        </c:ser>
        <c:dLbls>
          <c:dLblPos val="ctr"/>
          <c:showLegendKey val="1"/>
          <c:showVal val="1"/>
          <c:showCatName val="1"/>
          <c:showSerName val="1"/>
          <c:showPercent val="1"/>
          <c:showBubbleSize val="1"/>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_tradnl"/>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2</a:t>
            </a:r>
            <a:r>
              <a:rPr lang="es-ES_tradnl" baseline="0"/>
              <a:t> Sexo</a:t>
            </a:r>
            <a:endParaRPr lang="es-ES_tradnl"/>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1"/>
        <c:ser>
          <c:idx val="0"/>
          <c:order val="0"/>
          <c:tx>
            <c:strRef>
              <c:f>'[2]REACTIVO 2'!$C$4</c:f>
              <c:strCache>
                <c:ptCount val="1"/>
                <c:pt idx="0">
                  <c:v>FA</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C90D-4A5E-8845-6E59585A7890}"/>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C90D-4A5E-8845-6E59585A7890}"/>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C90D-4A5E-8845-6E59585A7890}"/>
              </c:ext>
            </c:extLst>
          </c:dPt>
          <c:cat>
            <c:strRef>
              <c:f>'[2]REACTIVO 2'!$B$5:$B$7</c:f>
              <c:strCache>
                <c:ptCount val="3"/>
                <c:pt idx="0">
                  <c:v>Hombre</c:v>
                </c:pt>
                <c:pt idx="1">
                  <c:v>Mujer</c:v>
                </c:pt>
                <c:pt idx="2">
                  <c:v>Prefiero no decirlo</c:v>
                </c:pt>
              </c:strCache>
            </c:strRef>
          </c:cat>
          <c:val>
            <c:numRef>
              <c:f>'[2]REACTIVO 2'!$C$5:$C$7</c:f>
              <c:numCache>
                <c:formatCode>General</c:formatCode>
                <c:ptCount val="3"/>
                <c:pt idx="0">
                  <c:v>154</c:v>
                </c:pt>
                <c:pt idx="1">
                  <c:v>75</c:v>
                </c:pt>
                <c:pt idx="2">
                  <c:v>6</c:v>
                </c:pt>
              </c:numCache>
            </c:numRef>
          </c:val>
          <c:extLst>
            <c:ext xmlns:c16="http://schemas.microsoft.com/office/drawing/2014/chart" uri="{C3380CC4-5D6E-409C-BE32-E72D297353CC}">
              <c16:uniqueId val="{00000000-A44B-4D91-9FC0-D9E01722C383}"/>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_tradnl"/>
              <a:t>Reactivo 2: Sexo</a:t>
            </a:r>
          </a:p>
        </c:rich>
      </c:tx>
      <c:layout>
        <c:manualLayout>
          <c:xMode val="edge"/>
          <c:yMode val="edge"/>
          <c:x val="0.59010046296296292"/>
          <c:y val="0"/>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_tradnl"/>
        </a:p>
      </c:txPr>
    </c:title>
    <c:autoTitleDeleted val="0"/>
    <c:plotArea>
      <c:layout/>
      <c:pieChart>
        <c:varyColors val="1"/>
        <c:ser>
          <c:idx val="0"/>
          <c:order val="0"/>
          <c:tx>
            <c:strRef>
              <c:f>'[2]REACTIVO 2'!$E$4</c:f>
              <c:strCache>
                <c:ptCount val="1"/>
                <c:pt idx="0">
                  <c:v>Porcentaje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293-4BFE-B00F-9880E76927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293-4BFE-B00F-9880E76927B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293-4BFE-B00F-9880E76927B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_tradnl"/>
              </a:p>
            </c:txPr>
            <c:dLblPos val="ctr"/>
            <c:showLegendKey val="1"/>
            <c:showVal val="1"/>
            <c:showCatName val="1"/>
            <c:showSerName val="1"/>
            <c:showPercent val="1"/>
            <c:showBubbleSize val="1"/>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'[2]REACTIVO 2'!$B$5:$B$7</c:f>
              <c:strCache>
                <c:ptCount val="3"/>
                <c:pt idx="0">
                  <c:v>Hombre</c:v>
                </c:pt>
                <c:pt idx="1">
                  <c:v>Mujer</c:v>
                </c:pt>
                <c:pt idx="2">
                  <c:v>Prefiero no decirlo</c:v>
                </c:pt>
              </c:strCache>
            </c:strRef>
          </c:cat>
          <c:val>
            <c:numRef>
              <c:f>'[2]REACTIVO 2'!$E$5:$E$7</c:f>
              <c:numCache>
                <c:formatCode>General</c:formatCode>
                <c:ptCount val="3"/>
                <c:pt idx="0">
                  <c:v>65.53</c:v>
                </c:pt>
                <c:pt idx="1">
                  <c:v>31.91</c:v>
                </c:pt>
                <c:pt idx="2">
                  <c:v>2.5499999999999998</c:v>
                </c:pt>
              </c:numCache>
            </c:numRef>
          </c:val>
          <c:extLst>
            <c:ext xmlns:c16="http://schemas.microsoft.com/office/drawing/2014/chart" uri="{C3380CC4-5D6E-409C-BE32-E72D297353CC}">
              <c16:uniqueId val="{00000000-22A4-4DCE-AAFE-9C9754717583}"/>
            </c:ext>
          </c:extLst>
        </c:ser>
        <c:dLbls>
          <c:dLblPos val="ctr"/>
          <c:showLegendKey val="1"/>
          <c:showVal val="1"/>
          <c:showCatName val="1"/>
          <c:showSerName val="1"/>
          <c:showPercent val="1"/>
          <c:showBubbleSize val="1"/>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_tradnl"/>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3</a:t>
            </a:r>
            <a:r>
              <a:rPr lang="es-ES_tradnl" baseline="0"/>
              <a:t> Edad</a:t>
            </a:r>
            <a:endParaRPr lang="es-ES_tradnl"/>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1"/>
        <c:ser>
          <c:idx val="0"/>
          <c:order val="0"/>
          <c:tx>
            <c:strRef>
              <c:f>'[2]REACTIVO 3'!$C$4</c:f>
              <c:strCache>
                <c:ptCount val="1"/>
                <c:pt idx="0">
                  <c:v>FA</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232A-446B-823D-D30FE90889D3}"/>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232A-446B-823D-D30FE90889D3}"/>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232A-446B-823D-D30FE90889D3}"/>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232A-446B-823D-D30FE90889D3}"/>
              </c:ext>
            </c:extLst>
          </c:dPt>
          <c:cat>
            <c:strRef>
              <c:f>'[2]REACTIVO 3'!$B$5:$B$8</c:f>
              <c:strCache>
                <c:ptCount val="4"/>
                <c:pt idx="0">
                  <c:v>18-20 años</c:v>
                </c:pt>
                <c:pt idx="1">
                  <c:v>21-23 años</c:v>
                </c:pt>
                <c:pt idx="2">
                  <c:v>24-26 años</c:v>
                </c:pt>
                <c:pt idx="3">
                  <c:v>27 años o más</c:v>
                </c:pt>
              </c:strCache>
            </c:strRef>
          </c:cat>
          <c:val>
            <c:numRef>
              <c:f>'[2]REACTIVO 3'!$C$5:$C$8</c:f>
              <c:numCache>
                <c:formatCode>General</c:formatCode>
                <c:ptCount val="4"/>
                <c:pt idx="0">
                  <c:v>80</c:v>
                </c:pt>
                <c:pt idx="1">
                  <c:v>131</c:v>
                </c:pt>
                <c:pt idx="2">
                  <c:v>21</c:v>
                </c:pt>
                <c:pt idx="3">
                  <c:v>3</c:v>
                </c:pt>
              </c:numCache>
            </c:numRef>
          </c:val>
          <c:extLst>
            <c:ext xmlns:c16="http://schemas.microsoft.com/office/drawing/2014/chart" uri="{C3380CC4-5D6E-409C-BE32-E72D297353CC}">
              <c16:uniqueId val="{00000000-0651-478E-9CAD-1F72F015D94A}"/>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_tradnl"/>
              <a:t> Reactivo 3: Edad</a:t>
            </a:r>
          </a:p>
        </c:rich>
      </c:tx>
      <c:layout>
        <c:manualLayout>
          <c:xMode val="edge"/>
          <c:yMode val="edge"/>
          <c:x val="0.60779509581850222"/>
          <c:y val="3.3720677001705723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_tradnl"/>
        </a:p>
      </c:txPr>
    </c:title>
    <c:autoTitleDeleted val="0"/>
    <c:plotArea>
      <c:layout/>
      <c:pieChart>
        <c:varyColors val="1"/>
        <c:ser>
          <c:idx val="0"/>
          <c:order val="0"/>
          <c:tx>
            <c:strRef>
              <c:f>'[2]REACTIVO 3'!$E$4</c:f>
              <c:strCache>
                <c:ptCount val="1"/>
                <c:pt idx="0">
                  <c:v>Porcentaje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29-4E09-8FAD-2A01F09F73E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29-4E09-8FAD-2A01F09F73E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229-4E09-8FAD-2A01F09F73E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229-4E09-8FAD-2A01F09F73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_tradnl"/>
              </a:p>
            </c:txPr>
            <c:dLblPos val="ctr"/>
            <c:showLegendKey val="1"/>
            <c:showVal val="1"/>
            <c:showCatName val="1"/>
            <c:showSerName val="1"/>
            <c:showPercent val="1"/>
            <c:showBubbleSize val="1"/>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'[2]REACTIVO 3'!$B$5:$B$8</c:f>
              <c:strCache>
                <c:ptCount val="4"/>
                <c:pt idx="0">
                  <c:v>18-20 años</c:v>
                </c:pt>
                <c:pt idx="1">
                  <c:v>21-23 años</c:v>
                </c:pt>
                <c:pt idx="2">
                  <c:v>24-26 años</c:v>
                </c:pt>
                <c:pt idx="3">
                  <c:v>27 años o más</c:v>
                </c:pt>
              </c:strCache>
            </c:strRef>
          </c:cat>
          <c:val>
            <c:numRef>
              <c:f>'[2]REACTIVO 3'!$E$5:$E$8</c:f>
              <c:numCache>
                <c:formatCode>General</c:formatCode>
                <c:ptCount val="4"/>
                <c:pt idx="0">
                  <c:v>34.04</c:v>
                </c:pt>
                <c:pt idx="1">
                  <c:v>55.74</c:v>
                </c:pt>
                <c:pt idx="2">
                  <c:v>8.94</c:v>
                </c:pt>
                <c:pt idx="3">
                  <c:v>1.28</c:v>
                </c:pt>
              </c:numCache>
            </c:numRef>
          </c:val>
          <c:extLst>
            <c:ext xmlns:c16="http://schemas.microsoft.com/office/drawing/2014/chart" uri="{C3380CC4-5D6E-409C-BE32-E72D297353CC}">
              <c16:uniqueId val="{00000000-8CE4-49FA-939E-C518567B6193}"/>
            </c:ext>
          </c:extLst>
        </c:ser>
        <c:dLbls>
          <c:dLblPos val="ctr"/>
          <c:showLegendKey val="1"/>
          <c:showVal val="1"/>
          <c:showCatName val="1"/>
          <c:showSerName val="1"/>
          <c:showPercent val="1"/>
          <c:showBubbleSize val="1"/>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_tradnl"/>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400" b="1" i="0" u="none" strike="noStrike" kern="1200" baseline="0">
                <a:solidFill>
                  <a:sysClr val="windowText" lastClr="000000"/>
                </a:solidFill>
              </a:rPr>
              <a:t>Reactivo 4: Horas continuas (n=235)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'REACTIVO 4'!$D$4</c:f>
              <c:strCache>
                <c:ptCount val="1"/>
                <c:pt idx="0">
                  <c:v>FA</c:v>
                </c:pt>
              </c:strCache>
            </c:strRef>
          </c:tx>
          <c:spPr>
            <a:solidFill>
              <a:schemeClr val="accent1"/>
            </a:solidFill>
            <a:ln>
              <a:noFill/>
            </a:ln>
            <a:effectLst/>
          </c:spPr>
          <c:invertIfNegative val="0"/>
          <c:cat>
            <c:strRef>
              <c:f>'REACTIVO 4'!$C$5:$C$10</c:f>
              <c:strCache>
                <c:ptCount val="6"/>
                <c:pt idx="0">
                  <c:v>Menos de 2 horas</c:v>
                </c:pt>
                <c:pt idx="1">
                  <c:v>2-4 horas</c:v>
                </c:pt>
                <c:pt idx="2">
                  <c:v>5-7 horas</c:v>
                </c:pt>
                <c:pt idx="3">
                  <c:v>8-10 horas</c:v>
                </c:pt>
                <c:pt idx="4">
                  <c:v>11-12 horas</c:v>
                </c:pt>
                <c:pt idx="5">
                  <c:v>Más de 12 horas</c:v>
                </c:pt>
              </c:strCache>
            </c:strRef>
          </c:cat>
          <c:val>
            <c:numRef>
              <c:f>'REACTIVO 4'!$D$5:$D$10</c:f>
              <c:numCache>
                <c:formatCode>General</c:formatCode>
                <c:ptCount val="6"/>
                <c:pt idx="0">
                  <c:v>53</c:v>
                </c:pt>
                <c:pt idx="1">
                  <c:v>79</c:v>
                </c:pt>
                <c:pt idx="2">
                  <c:v>60</c:v>
                </c:pt>
                <c:pt idx="3">
                  <c:v>35</c:v>
                </c:pt>
                <c:pt idx="4">
                  <c:v>5</c:v>
                </c:pt>
                <c:pt idx="5">
                  <c:v>3</c:v>
                </c:pt>
              </c:numCache>
            </c:numRef>
          </c:val>
          <c:extLst>
            <c:ext xmlns:c16="http://schemas.microsoft.com/office/drawing/2014/chart" uri="{C3380CC4-5D6E-409C-BE32-E72D297353CC}">
              <c16:uniqueId val="{00000000-BBB6-48BB-BAFB-B6C859B4A007}"/>
            </c:ext>
          </c:extLst>
        </c:ser>
        <c:dLbls>
          <c:showLegendKey val="0"/>
          <c:showVal val="0"/>
          <c:showCatName val="0"/>
          <c:showSerName val="0"/>
          <c:showPercent val="0"/>
          <c:showBubbleSize val="0"/>
        </c:dLbls>
        <c:gapWidth val="219"/>
        <c:overlap val="-27"/>
        <c:axId val="828620768"/>
        <c:axId val="828611168"/>
      </c:barChart>
      <c:catAx>
        <c:axId val="82862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828611168"/>
        <c:crosses val="autoZero"/>
        <c:auto val="1"/>
        <c:lblAlgn val="ctr"/>
        <c:lblOffset val="100"/>
        <c:noMultiLvlLbl val="0"/>
      </c:catAx>
      <c:valAx>
        <c:axId val="82861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82862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s-ES_tradnl"/>
        </a:p>
      </c:txPr>
    </c:title>
    <c:autoTitleDeleted val="0"/>
    <c:plotArea>
      <c:layout/>
      <c:pieChart>
        <c:varyColors val="1"/>
        <c:ser>
          <c:idx val="0"/>
          <c:order val="0"/>
          <c:tx>
            <c:strRef>
              <c:f>'REACTIVO 4'!$F$4</c:f>
              <c:strCache>
                <c:ptCount val="1"/>
                <c:pt idx="0">
                  <c:v>Porcentaje (%)</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3380-48A2-A4A3-DAC954CD324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380-48A2-A4A3-DAC954CD324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3380-48A2-A4A3-DAC954CD324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380-48A2-A4A3-DAC954CD324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3380-48A2-A4A3-DAC954CD324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380-48A2-A4A3-DAC954CD324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06-3380-48A2-A4A3-DAC954CD324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07-3380-48A2-A4A3-DAC954CD324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08-3380-48A2-A4A3-DAC954CD324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09-3380-48A2-A4A3-DAC954CD324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0A-3380-48A2-A4A3-DAC954CD3242}"/>
                </c:ext>
              </c:extLst>
            </c:dLbl>
            <c:dLbl>
              <c:idx val="5"/>
              <c:layout>
                <c:manualLayout>
                  <c:x val="7.8475745302714367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s-ES_tradnl"/>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380-48A2-A4A3-DAC954CD3242}"/>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'REACTIVO 4'!$C$5:$C$10</c:f>
              <c:strCache>
                <c:ptCount val="6"/>
                <c:pt idx="0">
                  <c:v>Menos de 2 horas</c:v>
                </c:pt>
                <c:pt idx="1">
                  <c:v>2-4 horas</c:v>
                </c:pt>
                <c:pt idx="2">
                  <c:v>5-7 horas</c:v>
                </c:pt>
                <c:pt idx="3">
                  <c:v>8-10 horas</c:v>
                </c:pt>
                <c:pt idx="4">
                  <c:v>11-12 horas</c:v>
                </c:pt>
                <c:pt idx="5">
                  <c:v>Más de 12 horas</c:v>
                </c:pt>
              </c:strCache>
            </c:strRef>
          </c:cat>
          <c:val>
            <c:numRef>
              <c:f>'REACTIVO 4'!$F$5:$F$10</c:f>
              <c:numCache>
                <c:formatCode>0.00</c:formatCode>
                <c:ptCount val="6"/>
                <c:pt idx="0">
                  <c:v>22.553191489361701</c:v>
                </c:pt>
                <c:pt idx="1">
                  <c:v>33.617021276595743</c:v>
                </c:pt>
                <c:pt idx="2">
                  <c:v>25.531914893617021</c:v>
                </c:pt>
                <c:pt idx="3">
                  <c:v>14.893617021276595</c:v>
                </c:pt>
                <c:pt idx="4">
                  <c:v>2.1276595744680851</c:v>
                </c:pt>
                <c:pt idx="5">
                  <c:v>1.2765957446808509</c:v>
                </c:pt>
              </c:numCache>
            </c:numRef>
          </c:val>
          <c:extLst>
            <c:ext xmlns:c16="http://schemas.microsoft.com/office/drawing/2014/chart" uri="{C3380CC4-5D6E-409C-BE32-E72D297353CC}">
              <c16:uniqueId val="{00000000-3380-48A2-A4A3-DAC954CD3242}"/>
            </c:ext>
          </c:extLst>
        </c:ser>
        <c:ser>
          <c:idx val="1"/>
          <c:order val="1"/>
          <c:tx>
            <c:strRef>
              <c:f>'REACTIVO 4'!$E$4</c:f>
              <c:strCache>
                <c:ptCount val="1"/>
                <c:pt idx="0">
                  <c:v>FR = FA/n</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3380-48A2-A4A3-DAC954CD324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3380-48A2-A4A3-DAC954CD324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3380-48A2-A4A3-DAC954CD324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3380-48A2-A4A3-DAC954CD324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3380-48A2-A4A3-DAC954CD324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3380-48A2-A4A3-DAC954CD324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3380-48A2-A4A3-DAC954CD324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0B-3380-48A2-A4A3-DAC954CD324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0C-3380-48A2-A4A3-DAC954CD324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0D-3380-48A2-A4A3-DAC954CD324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0E-3380-48A2-A4A3-DAC954CD324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0F-3380-48A2-A4A3-DAC954CD324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0-3380-48A2-A4A3-DAC954CD324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1-3380-48A2-A4A3-DAC954CD3242}"/>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'REACTIVO 4'!$C$5:$C$10</c:f>
              <c:strCache>
                <c:ptCount val="6"/>
                <c:pt idx="0">
                  <c:v>Menos de 2 horas</c:v>
                </c:pt>
                <c:pt idx="1">
                  <c:v>2-4 horas</c:v>
                </c:pt>
                <c:pt idx="2">
                  <c:v>5-7 horas</c:v>
                </c:pt>
                <c:pt idx="3">
                  <c:v>8-10 horas</c:v>
                </c:pt>
                <c:pt idx="4">
                  <c:v>11-12 horas</c:v>
                </c:pt>
                <c:pt idx="5">
                  <c:v>Más de 12 horas</c:v>
                </c:pt>
              </c:strCache>
            </c:strRef>
          </c:cat>
          <c:val>
            <c:numRef>
              <c:f>'REACTIVO 4'!$E$5:$E$11</c:f>
              <c:numCache>
                <c:formatCode>General</c:formatCode>
                <c:ptCount val="7"/>
                <c:pt idx="0">
                  <c:v>0.22553191489361701</c:v>
                </c:pt>
                <c:pt idx="1">
                  <c:v>0.33617021276595743</c:v>
                </c:pt>
                <c:pt idx="2">
                  <c:v>0.25531914893617019</c:v>
                </c:pt>
                <c:pt idx="3">
                  <c:v>0.14893617021276595</c:v>
                </c:pt>
                <c:pt idx="4">
                  <c:v>2.1276595744680851E-2</c:v>
                </c:pt>
                <c:pt idx="5">
                  <c:v>1.276595744680851E-2</c:v>
                </c:pt>
                <c:pt idx="6">
                  <c:v>0.99999999999999989</c:v>
                </c:pt>
              </c:numCache>
            </c:numRef>
          </c:val>
          <c:extLst>
            <c:ext xmlns:c16="http://schemas.microsoft.com/office/drawing/2014/chart" uri="{C3380CC4-5D6E-409C-BE32-E72D297353CC}">
              <c16:uniqueId val="{00000001-3380-48A2-A4A3-DAC954CD3242}"/>
            </c:ext>
          </c:extLst>
        </c:ser>
        <c:ser>
          <c:idx val="2"/>
          <c:order val="2"/>
          <c:tx>
            <c:strRef>
              <c:f>'REACTIVO 4'!$F$4</c:f>
              <c:strCache>
                <c:ptCount val="1"/>
                <c:pt idx="0">
                  <c:v>Porcentaje (%)</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3380-48A2-A4A3-DAC954CD324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3380-48A2-A4A3-DAC954CD324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3380-48A2-A4A3-DAC954CD324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3380-48A2-A4A3-DAC954CD324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3380-48A2-A4A3-DAC954CD324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3380-48A2-A4A3-DAC954CD324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3380-48A2-A4A3-DAC954CD324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2-3380-48A2-A4A3-DAC954CD324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3-3380-48A2-A4A3-DAC954CD324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4-3380-48A2-A4A3-DAC954CD324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5-3380-48A2-A4A3-DAC954CD324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6-3380-48A2-A4A3-DAC954CD324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7-3380-48A2-A4A3-DAC954CD324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8-3380-48A2-A4A3-DAC954CD3242}"/>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'REACTIVO 4'!$C$5:$C$10</c:f>
              <c:strCache>
                <c:ptCount val="6"/>
                <c:pt idx="0">
                  <c:v>Menos de 2 horas</c:v>
                </c:pt>
                <c:pt idx="1">
                  <c:v>2-4 horas</c:v>
                </c:pt>
                <c:pt idx="2">
                  <c:v>5-7 horas</c:v>
                </c:pt>
                <c:pt idx="3">
                  <c:v>8-10 horas</c:v>
                </c:pt>
                <c:pt idx="4">
                  <c:v>11-12 horas</c:v>
                </c:pt>
                <c:pt idx="5">
                  <c:v>Más de 12 horas</c:v>
                </c:pt>
              </c:strCache>
            </c:strRef>
          </c:cat>
          <c:val>
            <c:numRef>
              <c:f>'REACTIVO 4'!$F$5:$F$11</c:f>
              <c:numCache>
                <c:formatCode>0.00</c:formatCode>
                <c:ptCount val="7"/>
                <c:pt idx="0">
                  <c:v>22.553191489361701</c:v>
                </c:pt>
                <c:pt idx="1">
                  <c:v>33.617021276595743</c:v>
                </c:pt>
                <c:pt idx="2">
                  <c:v>25.531914893617021</c:v>
                </c:pt>
                <c:pt idx="3">
                  <c:v>14.893617021276595</c:v>
                </c:pt>
                <c:pt idx="4">
                  <c:v>2.1276595744680851</c:v>
                </c:pt>
                <c:pt idx="5">
                  <c:v>1.2765957446808509</c:v>
                </c:pt>
                <c:pt idx="6" formatCode="General">
                  <c:v>100</c:v>
                </c:pt>
              </c:numCache>
            </c:numRef>
          </c:val>
          <c:extLst>
            <c:ext xmlns:c16="http://schemas.microsoft.com/office/drawing/2014/chart" uri="{C3380CC4-5D6E-409C-BE32-E72D297353CC}">
              <c16:uniqueId val="{00000002-3380-48A2-A4A3-DAC954CD3242}"/>
            </c:ext>
          </c:extLst>
        </c:ser>
        <c:ser>
          <c:idx val="3"/>
          <c:order val="3"/>
          <c:tx>
            <c:strRef>
              <c:f>'REACTIVO 4'!$G$4</c:f>
              <c:strCache>
                <c:ptCount val="1"/>
                <c:pt idx="0">
                  <c:v>FA Acumulada</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3380-48A2-A4A3-DAC954CD324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3380-48A2-A4A3-DAC954CD324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3380-48A2-A4A3-DAC954CD324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3380-48A2-A4A3-DAC954CD324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3380-48A2-A4A3-DAC954CD324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3380-48A2-A4A3-DAC954CD324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3380-48A2-A4A3-DAC954CD324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9-3380-48A2-A4A3-DAC954CD324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A-3380-48A2-A4A3-DAC954CD324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B-3380-48A2-A4A3-DAC954CD324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C-3380-48A2-A4A3-DAC954CD324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D-3380-48A2-A4A3-DAC954CD324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E-3380-48A2-A4A3-DAC954CD324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1F-3380-48A2-A4A3-DAC954CD3242}"/>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'REACTIVO 4'!$C$5:$C$10</c:f>
              <c:strCache>
                <c:ptCount val="6"/>
                <c:pt idx="0">
                  <c:v>Menos de 2 horas</c:v>
                </c:pt>
                <c:pt idx="1">
                  <c:v>2-4 horas</c:v>
                </c:pt>
                <c:pt idx="2">
                  <c:v>5-7 horas</c:v>
                </c:pt>
                <c:pt idx="3">
                  <c:v>8-10 horas</c:v>
                </c:pt>
                <c:pt idx="4">
                  <c:v>11-12 horas</c:v>
                </c:pt>
                <c:pt idx="5">
                  <c:v>Más de 12 horas</c:v>
                </c:pt>
              </c:strCache>
            </c:strRef>
          </c:cat>
          <c:val>
            <c:numRef>
              <c:f>'REACTIVO 4'!$G$5:$G$11</c:f>
              <c:numCache>
                <c:formatCode>General</c:formatCode>
                <c:ptCount val="7"/>
                <c:pt idx="0">
                  <c:v>53</c:v>
                </c:pt>
                <c:pt idx="1">
                  <c:v>132</c:v>
                </c:pt>
                <c:pt idx="2">
                  <c:v>192</c:v>
                </c:pt>
                <c:pt idx="3">
                  <c:v>227</c:v>
                </c:pt>
                <c:pt idx="4">
                  <c:v>232</c:v>
                </c:pt>
                <c:pt idx="5">
                  <c:v>235</c:v>
                </c:pt>
                <c:pt idx="6">
                  <c:v>235</c:v>
                </c:pt>
              </c:numCache>
            </c:numRef>
          </c:val>
          <c:extLst>
            <c:ext xmlns:c16="http://schemas.microsoft.com/office/drawing/2014/chart" uri="{C3380CC4-5D6E-409C-BE32-E72D297353CC}">
              <c16:uniqueId val="{00000003-3380-48A2-A4A3-DAC954CD3242}"/>
            </c:ext>
          </c:extLst>
        </c:ser>
        <c:ser>
          <c:idx val="4"/>
          <c:order val="4"/>
          <c:tx>
            <c:strRef>
              <c:f>'REACTIVO 4'!$H$4</c:f>
              <c:strCache>
                <c:ptCount val="1"/>
                <c:pt idx="0">
                  <c:v>% Acumulado</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0-3380-48A2-A4A3-DAC954CD324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3380-48A2-A4A3-DAC954CD324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2-3380-48A2-A4A3-DAC954CD324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3380-48A2-A4A3-DAC954CD324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4-3380-48A2-A4A3-DAC954CD324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3380-48A2-A4A3-DAC954CD324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6-3380-48A2-A4A3-DAC954CD324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20-3380-48A2-A4A3-DAC954CD324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21-3380-48A2-A4A3-DAC954CD324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22-3380-48A2-A4A3-DAC954CD324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23-3380-48A2-A4A3-DAC954CD324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24-3380-48A2-A4A3-DAC954CD324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25-3380-48A2-A4A3-DAC954CD324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s-ES_tradnl"/>
                </a:p>
              </c:txPr>
              <c:dLblPos val="outEnd"/>
              <c:showLegendKey val="0"/>
              <c:showVal val="0"/>
              <c:showCatName val="1"/>
              <c:showSerName val="0"/>
              <c:showPercent val="1"/>
              <c:showBubbleSize val="0"/>
              <c:extLst>
                <c:ext xmlns:c16="http://schemas.microsoft.com/office/drawing/2014/chart" uri="{C3380CC4-5D6E-409C-BE32-E72D297353CC}">
                  <c16:uniqueId val="{00000026-3380-48A2-A4A3-DAC954CD3242}"/>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'REACTIVO 4'!$C$5:$C$10</c:f>
              <c:strCache>
                <c:ptCount val="6"/>
                <c:pt idx="0">
                  <c:v>Menos de 2 horas</c:v>
                </c:pt>
                <c:pt idx="1">
                  <c:v>2-4 horas</c:v>
                </c:pt>
                <c:pt idx="2">
                  <c:v>5-7 horas</c:v>
                </c:pt>
                <c:pt idx="3">
                  <c:v>8-10 horas</c:v>
                </c:pt>
                <c:pt idx="4">
                  <c:v>11-12 horas</c:v>
                </c:pt>
                <c:pt idx="5">
                  <c:v>Más de 12 horas</c:v>
                </c:pt>
              </c:strCache>
            </c:strRef>
          </c:cat>
          <c:val>
            <c:numRef>
              <c:f>'REACTIVO 4'!$H$5:$H$11</c:f>
              <c:numCache>
                <c:formatCode>0.00</c:formatCode>
                <c:ptCount val="7"/>
                <c:pt idx="0">
                  <c:v>22.553191489361701</c:v>
                </c:pt>
                <c:pt idx="1">
                  <c:v>56.170212765957451</c:v>
                </c:pt>
                <c:pt idx="2">
                  <c:v>81.702127659574458</c:v>
                </c:pt>
                <c:pt idx="3">
                  <c:v>96.595744680851055</c:v>
                </c:pt>
                <c:pt idx="4">
                  <c:v>98.723404255319153</c:v>
                </c:pt>
                <c:pt idx="5">
                  <c:v>100</c:v>
                </c:pt>
                <c:pt idx="6" formatCode="General">
                  <c:v>100</c:v>
                </c:pt>
              </c:numCache>
            </c:numRef>
          </c:val>
          <c:extLst>
            <c:ext xmlns:c16="http://schemas.microsoft.com/office/drawing/2014/chart" uri="{C3380CC4-5D6E-409C-BE32-E72D297353CC}">
              <c16:uniqueId val="{00000004-3380-48A2-A4A3-DAC954CD3242}"/>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ES_tradnl"/>
              <a:t>Reactivo 5: Jornadas extremas (n=235)</a:t>
            </a:r>
          </a:p>
        </c:rich>
      </c:tx>
      <c:overlay val="1"/>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ES_tradnl"/>
        </a:p>
      </c:txPr>
    </c:title>
    <c:autoTitleDeleted val="0"/>
    <c:plotArea>
      <c:layout/>
      <c:barChart>
        <c:barDir val="col"/>
        <c:grouping val="clustered"/>
        <c:varyColors val="1"/>
        <c:ser>
          <c:idx val="0"/>
          <c:order val="0"/>
          <c:tx>
            <c:strRef>
              <c:f>'[3]REACTIVO 5'!$C$4</c:f>
              <c:strCache>
                <c:ptCount val="1"/>
                <c:pt idx="0">
                  <c:v>FA</c:v>
                </c:pt>
              </c:strCache>
            </c:strRef>
          </c:tx>
          <c:invertIfNegative val="1"/>
          <c:dPt>
            <c:idx val="0"/>
            <c:invertIfNegative val="1"/>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9C1-4743-B7C3-2711C32C916F}"/>
              </c:ext>
            </c:extLst>
          </c:dPt>
          <c:dPt>
            <c:idx val="1"/>
            <c:invertIfNegative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9C1-4743-B7C3-2711C32C916F}"/>
              </c:ext>
            </c:extLst>
          </c:dPt>
          <c:dPt>
            <c:idx val="2"/>
            <c:invertIfNegative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9C1-4743-B7C3-2711C32C916F}"/>
              </c:ext>
            </c:extLst>
          </c:dPt>
          <c:dPt>
            <c:idx val="3"/>
            <c:invertIfNegative val="1"/>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69C1-4743-B7C3-2711C32C916F}"/>
              </c:ext>
            </c:extLst>
          </c:dPt>
          <c:cat>
            <c:strRef>
              <c:f>'[3]REACTIVO 5'!$B$5:$B$8</c:f>
              <c:strCache>
                <c:ptCount val="4"/>
                <c:pt idx="0">
                  <c:v>No, nunca</c:v>
                </c:pt>
                <c:pt idx="1">
                  <c:v>Sí, una vez</c:v>
                </c:pt>
                <c:pt idx="2">
                  <c:v>Sí, 2-3 veces</c:v>
                </c:pt>
                <c:pt idx="3">
                  <c:v>Sí, 4 o más veces</c:v>
                </c:pt>
              </c:strCache>
            </c:strRef>
          </c:cat>
          <c:val>
            <c:numRef>
              <c:f>'[3]REACTIVO 5'!$C$5:$C$8</c:f>
              <c:numCache>
                <c:formatCode>General</c:formatCode>
                <c:ptCount val="4"/>
                <c:pt idx="0">
                  <c:v>46</c:v>
                </c:pt>
                <c:pt idx="1">
                  <c:v>84</c:v>
                </c:pt>
                <c:pt idx="2">
                  <c:v>67</c:v>
                </c:pt>
                <c:pt idx="3">
                  <c:v>38</c:v>
                </c:pt>
              </c:numCache>
            </c:numRef>
          </c:val>
          <c:extLst>
            <c:ext xmlns:c16="http://schemas.microsoft.com/office/drawing/2014/chart" uri="{C3380CC4-5D6E-409C-BE32-E72D297353CC}">
              <c16:uniqueId val="{00000000-B228-4765-A9F8-D54677951F92}"/>
            </c:ext>
          </c:extLst>
        </c:ser>
        <c:dLbls>
          <c:showLegendKey val="0"/>
          <c:showVal val="0"/>
          <c:showCatName val="0"/>
          <c:showSerName val="0"/>
          <c:showPercent val="0"/>
          <c:showBubbleSize val="0"/>
        </c:dLbls>
        <c:gapWidth val="100"/>
        <c:overlap val="-24"/>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_tradnl"/>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s-ES_tradnl"/>
                  <a:t>Frecuencia Absoluta (FA)</a:t>
                </a:r>
              </a:p>
            </c:rich>
          </c:tx>
          <c:overlay val="1"/>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s-ES_tradn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_tradnl"/>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_tradnl"/>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_tradnl"/>
              <a:t>Distribución porcentual - Reactivo 5</a:t>
            </a:r>
          </a:p>
        </c:rich>
      </c:tx>
      <c:layout>
        <c:manualLayout>
          <c:xMode val="edge"/>
          <c:yMode val="edge"/>
          <c:x val="0.51885068901404541"/>
          <c:y val="0"/>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_tradnl"/>
        </a:p>
      </c:txPr>
    </c:title>
    <c:autoTitleDeleted val="0"/>
    <c:plotArea>
      <c:layout/>
      <c:pieChart>
        <c:varyColors val="1"/>
        <c:ser>
          <c:idx val="0"/>
          <c:order val="0"/>
          <c:tx>
            <c:strRef>
              <c:f>'[3]REACTIVO 5'!$E$4</c:f>
              <c:strCache>
                <c:ptCount val="1"/>
                <c:pt idx="0">
                  <c:v>Porcentaje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03-4ACD-B999-D75053408B7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03-4ACD-B999-D75053408B7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03-4ACD-B999-D75053408B7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03-4ACD-B999-D75053408B7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_tradnl"/>
              </a:p>
            </c:txPr>
            <c:dLblPos val="ctr"/>
            <c:showLegendKey val="1"/>
            <c:showVal val="1"/>
            <c:showCatName val="1"/>
            <c:showSerName val="1"/>
            <c:showPercent val="1"/>
            <c:showBubbleSize val="1"/>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'[3]REACTIVO 5'!$B$5:$B$8</c:f>
              <c:strCache>
                <c:ptCount val="4"/>
                <c:pt idx="0">
                  <c:v>No, nunca</c:v>
                </c:pt>
                <c:pt idx="1">
                  <c:v>Sí, una vez</c:v>
                </c:pt>
                <c:pt idx="2">
                  <c:v>Sí, 2-3 veces</c:v>
                </c:pt>
                <c:pt idx="3">
                  <c:v>Sí, 4 o más veces</c:v>
                </c:pt>
              </c:strCache>
            </c:strRef>
          </c:cat>
          <c:val>
            <c:numRef>
              <c:f>'[3]REACTIVO 5'!$E$5:$E$8</c:f>
              <c:numCache>
                <c:formatCode>General</c:formatCode>
                <c:ptCount val="4"/>
                <c:pt idx="0">
                  <c:v>19.57</c:v>
                </c:pt>
                <c:pt idx="1">
                  <c:v>35.74</c:v>
                </c:pt>
                <c:pt idx="2">
                  <c:v>28.51</c:v>
                </c:pt>
                <c:pt idx="3">
                  <c:v>16.170000000000002</c:v>
                </c:pt>
              </c:numCache>
            </c:numRef>
          </c:val>
          <c:extLst>
            <c:ext xmlns:c16="http://schemas.microsoft.com/office/drawing/2014/chart" uri="{C3380CC4-5D6E-409C-BE32-E72D297353CC}">
              <c16:uniqueId val="{00000000-CB22-4A93-B1E4-BCFA2C5785F3}"/>
            </c:ext>
          </c:extLst>
        </c:ser>
        <c:dLbls>
          <c:dLblPos val="ctr"/>
          <c:showLegendKey val="1"/>
          <c:showVal val="1"/>
          <c:showCatName val="1"/>
          <c:showSerName val="1"/>
          <c:showPercent val="1"/>
          <c:showBubbleSize val="1"/>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_tradnl"/>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'REACTIVO 15'!$C$1</c:f>
              <c:strCache>
                <c:ptCount val="1"/>
                <c:pt idx="0">
                  <c:v>Frecuencia absoluta</c:v>
                </c:pt>
              </c:strCache>
            </c:strRef>
          </c:tx>
          <c:spPr>
            <a:solidFill>
              <a:schemeClr val="accent1"/>
            </a:solidFill>
            <a:ln>
              <a:noFill/>
            </a:ln>
            <a:effectLst/>
          </c:spPr>
          <c:invertIfNegative val="0"/>
          <c:cat>
            <c:strRef>
              <c:f>'REACTIVO 15'!$B$2:$B$9</c:f>
              <c:strCache>
                <c:ptCount val="8"/>
                <c:pt idx="0">
                  <c:v>Descanso / pausa mental</c:v>
                </c:pt>
                <c:pt idx="1">
                  <c:v>Buscar ayuda externa (compañeros, profes)</c:v>
                </c:pt>
                <c:pt idx="2">
                  <c:v>Usar IA </c:v>
                </c:pt>
                <c:pt idx="3">
                  <c:v>Investigar en internet (Google, YouTube, foros)</c:v>
                </c:pt>
                <c:pt idx="4">
                  <c:v>Dividir el problema en partes más pequeñas</c:v>
                </c:pt>
                <c:pt idx="5">
                  <c:v>Revisar / depurar el código paso a paso</c:v>
                </c:pt>
                <c:pt idx="6">
                  <c:v>Cambiar de enfoque o replantear desde cero</c:v>
                </c:pt>
                <c:pt idx="7">
                  <c:v>Frustración y emociones negativas</c:v>
                </c:pt>
              </c:strCache>
            </c:strRef>
          </c:cat>
          <c:val>
            <c:numRef>
              <c:f>'REACTIVO 15'!$C$2:$C$9</c:f>
              <c:numCache>
                <c:formatCode>General</c:formatCode>
                <c:ptCount val="8"/>
                <c:pt idx="0">
                  <c:v>71</c:v>
                </c:pt>
                <c:pt idx="1">
                  <c:v>38</c:v>
                </c:pt>
                <c:pt idx="2">
                  <c:v>35</c:v>
                </c:pt>
                <c:pt idx="3">
                  <c:v>30</c:v>
                </c:pt>
                <c:pt idx="4">
                  <c:v>22</c:v>
                </c:pt>
                <c:pt idx="5">
                  <c:v>18</c:v>
                </c:pt>
                <c:pt idx="6">
                  <c:v>14</c:v>
                </c:pt>
                <c:pt idx="7">
                  <c:v>7</c:v>
                </c:pt>
              </c:numCache>
            </c:numRef>
          </c:val>
          <c:extLst>
            <c:ext xmlns:c16="http://schemas.microsoft.com/office/drawing/2014/chart" uri="{C3380CC4-5D6E-409C-BE32-E72D297353CC}">
              <c16:uniqueId val="{00000000-8C73-44B7-94A6-E3B61B1D10D9}"/>
            </c:ext>
          </c:extLst>
        </c:ser>
        <c:ser>
          <c:idx val="1"/>
          <c:order val="1"/>
          <c:tx>
            <c:strRef>
              <c:f>'REACTIVO 15'!$D$1</c:f>
              <c:strCache>
                <c:ptCount val="1"/>
                <c:pt idx="0">
                  <c:v>Porcentaje</c:v>
                </c:pt>
              </c:strCache>
            </c:strRef>
          </c:tx>
          <c:spPr>
            <a:solidFill>
              <a:schemeClr val="accent2"/>
            </a:solidFill>
            <a:ln>
              <a:noFill/>
            </a:ln>
            <a:effectLst/>
          </c:spPr>
          <c:invertIfNegative val="0"/>
          <c:cat>
            <c:strRef>
              <c:f>'REACTIVO 15'!$B$2:$B$9</c:f>
              <c:strCache>
                <c:ptCount val="8"/>
                <c:pt idx="0">
                  <c:v>Descanso / pausa mental</c:v>
                </c:pt>
                <c:pt idx="1">
                  <c:v>Buscar ayuda externa (compañeros, profes)</c:v>
                </c:pt>
                <c:pt idx="2">
                  <c:v>Usar IA </c:v>
                </c:pt>
                <c:pt idx="3">
                  <c:v>Investigar en internet (Google, YouTube, foros)</c:v>
                </c:pt>
                <c:pt idx="4">
                  <c:v>Dividir el problema en partes más pequeñas</c:v>
                </c:pt>
                <c:pt idx="5">
                  <c:v>Revisar / depurar el código paso a paso</c:v>
                </c:pt>
                <c:pt idx="6">
                  <c:v>Cambiar de enfoque o replantear desde cero</c:v>
                </c:pt>
                <c:pt idx="7">
                  <c:v>Frustración y emociones negativas</c:v>
                </c:pt>
              </c:strCache>
            </c:strRef>
          </c:cat>
          <c:val>
            <c:numRef>
              <c:f>'REACTIVO 15'!$D$2:$D$9</c:f>
              <c:numCache>
                <c:formatCode>0.00</c:formatCode>
                <c:ptCount val="8"/>
                <c:pt idx="0">
                  <c:v>30.212765957446809</c:v>
                </c:pt>
                <c:pt idx="1">
                  <c:v>16.170212765957448</c:v>
                </c:pt>
                <c:pt idx="2">
                  <c:v>14.893617021276595</c:v>
                </c:pt>
                <c:pt idx="3">
                  <c:v>12.76595744680851</c:v>
                </c:pt>
                <c:pt idx="4">
                  <c:v>9.3617021276595747</c:v>
                </c:pt>
                <c:pt idx="5">
                  <c:v>7.6595744680851059</c:v>
                </c:pt>
                <c:pt idx="6">
                  <c:v>5.9574468085106389</c:v>
                </c:pt>
                <c:pt idx="7">
                  <c:v>2.9787234042553195</c:v>
                </c:pt>
              </c:numCache>
            </c:numRef>
          </c:val>
          <c:extLst>
            <c:ext xmlns:c16="http://schemas.microsoft.com/office/drawing/2014/chart" uri="{C3380CC4-5D6E-409C-BE32-E72D297353CC}">
              <c16:uniqueId val="{00000001-8C73-44B7-94A6-E3B61B1D10D9}"/>
            </c:ext>
          </c:extLst>
        </c:ser>
        <c:ser>
          <c:idx val="2"/>
          <c:order val="2"/>
          <c:tx>
            <c:strRef>
              <c:f>'REACTIVO 15'!$E$1</c:f>
              <c:strCache>
                <c:ptCount val="1"/>
                <c:pt idx="0">
                  <c:v>Frecuencia relativa</c:v>
                </c:pt>
              </c:strCache>
            </c:strRef>
          </c:tx>
          <c:spPr>
            <a:solidFill>
              <a:schemeClr val="accent3"/>
            </a:solidFill>
            <a:ln>
              <a:noFill/>
            </a:ln>
            <a:effectLst/>
          </c:spPr>
          <c:invertIfNegative val="0"/>
          <c:cat>
            <c:strRef>
              <c:f>'REACTIVO 15'!$B$2:$B$9</c:f>
              <c:strCache>
                <c:ptCount val="8"/>
                <c:pt idx="0">
                  <c:v>Descanso / pausa mental</c:v>
                </c:pt>
                <c:pt idx="1">
                  <c:v>Buscar ayuda externa (compañeros, profes)</c:v>
                </c:pt>
                <c:pt idx="2">
                  <c:v>Usar IA </c:v>
                </c:pt>
                <c:pt idx="3">
                  <c:v>Investigar en internet (Google, YouTube, foros)</c:v>
                </c:pt>
                <c:pt idx="4">
                  <c:v>Dividir el problema en partes más pequeñas</c:v>
                </c:pt>
                <c:pt idx="5">
                  <c:v>Revisar / depurar el código paso a paso</c:v>
                </c:pt>
                <c:pt idx="6">
                  <c:v>Cambiar de enfoque o replantear desde cero</c:v>
                </c:pt>
                <c:pt idx="7">
                  <c:v>Frustración y emociones negativas</c:v>
                </c:pt>
              </c:strCache>
            </c:strRef>
          </c:cat>
          <c:val>
            <c:numRef>
              <c:f>'REACTIVO 15'!$E$2:$E$9</c:f>
              <c:numCache>
                <c:formatCode>0.00</c:formatCode>
                <c:ptCount val="8"/>
                <c:pt idx="0">
                  <c:v>0.30212765957446808</c:v>
                </c:pt>
                <c:pt idx="1">
                  <c:v>0.16170212765957448</c:v>
                </c:pt>
                <c:pt idx="2">
                  <c:v>0.14893617021276595</c:v>
                </c:pt>
                <c:pt idx="3">
                  <c:v>0.1276595744680851</c:v>
                </c:pt>
                <c:pt idx="4">
                  <c:v>9.3617021276595741E-2</c:v>
                </c:pt>
                <c:pt idx="5">
                  <c:v>7.6595744680851063E-2</c:v>
                </c:pt>
                <c:pt idx="6">
                  <c:v>5.9574468085106386E-2</c:v>
                </c:pt>
                <c:pt idx="7">
                  <c:v>2.9787234042553193E-2</c:v>
                </c:pt>
              </c:numCache>
            </c:numRef>
          </c:val>
          <c:extLst>
            <c:ext xmlns:c16="http://schemas.microsoft.com/office/drawing/2014/chart" uri="{C3380CC4-5D6E-409C-BE32-E72D297353CC}">
              <c16:uniqueId val="{00000002-8C73-44B7-94A6-E3B61B1D10D9}"/>
            </c:ext>
          </c:extLst>
        </c:ser>
        <c:dLbls>
          <c:showLegendKey val="0"/>
          <c:showVal val="0"/>
          <c:showCatName val="0"/>
          <c:showSerName val="0"/>
          <c:showPercent val="0"/>
          <c:showBubbleSize val="0"/>
        </c:dLbls>
        <c:gapWidth val="219"/>
        <c:overlap val="-27"/>
        <c:axId val="1397983616"/>
        <c:axId val="1397979776"/>
      </c:barChart>
      <c:catAx>
        <c:axId val="139798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7979776"/>
        <c:crosses val="autoZero"/>
        <c:auto val="1"/>
        <c:lblAlgn val="ctr"/>
        <c:lblOffset val="100"/>
        <c:noMultiLvlLbl val="0"/>
      </c:catAx>
      <c:valAx>
        <c:axId val="139797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798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'REACTIVO 16'!$C$1</c:f>
              <c:strCache>
                <c:ptCount val="1"/>
                <c:pt idx="0">
                  <c:v>Frecuencia</c:v>
                </c:pt>
              </c:strCache>
            </c:strRef>
          </c:tx>
          <c:spPr>
            <a:solidFill>
              <a:schemeClr val="accent1"/>
            </a:solidFill>
            <a:ln>
              <a:noFill/>
            </a:ln>
            <a:effectLst/>
          </c:spPr>
          <c:invertIfNegative val="0"/>
          <c:cat>
            <c:strRef>
              <c:f>'REACTIVO 16'!$B$2:$B$8</c:f>
              <c:strCache>
                <c:ptCount val="7"/>
                <c:pt idx="0">
                  <c:v>Cansancio o agotamiento general</c:v>
                </c:pt>
                <c:pt idx="1">
                  <c:v>Estrés y frustración</c:v>
                </c:pt>
                <c:pt idx="2">
                  <c:v>Molestias físicas (espalda, cabeza, ojos)</c:v>
                </c:pt>
                <c:pt idx="3">
                  <c:v>Cansancio y satisfacción (juntos)</c:v>
                </c:pt>
                <c:pt idx="4">
                  <c:v>Satisfacción o sensación de logro</c:v>
                </c:pt>
                <c:pt idx="5">
                  <c:v>Motivación o ganas de seguir</c:v>
                </c:pt>
                <c:pt idx="6">
                  <c:v>Sin experiencia o no aplica</c:v>
                </c:pt>
              </c:strCache>
            </c:strRef>
          </c:cat>
          <c:val>
            <c:numRef>
              <c:f>'REACTIVO 16'!$C$2:$C$8</c:f>
              <c:numCache>
                <c:formatCode>General</c:formatCode>
                <c:ptCount val="7"/>
                <c:pt idx="0">
                  <c:v>63</c:v>
                </c:pt>
                <c:pt idx="1">
                  <c:v>29</c:v>
                </c:pt>
                <c:pt idx="2">
                  <c:v>23</c:v>
                </c:pt>
                <c:pt idx="3">
                  <c:v>19</c:v>
                </c:pt>
                <c:pt idx="4">
                  <c:v>11</c:v>
                </c:pt>
                <c:pt idx="5">
                  <c:v>5</c:v>
                </c:pt>
                <c:pt idx="6">
                  <c:v>2</c:v>
                </c:pt>
              </c:numCache>
            </c:numRef>
          </c:val>
          <c:extLst>
            <c:ext xmlns:c16="http://schemas.microsoft.com/office/drawing/2014/chart" uri="{C3380CC4-5D6E-409C-BE32-E72D297353CC}">
              <c16:uniqueId val="{00000000-45D7-4447-ADF3-786EC338793C}"/>
            </c:ext>
          </c:extLst>
        </c:ser>
        <c:ser>
          <c:idx val="1"/>
          <c:order val="1"/>
          <c:tx>
            <c:strRef>
              <c:f>'REACTIVO 16'!$D$1</c:f>
              <c:strCache>
                <c:ptCount val="1"/>
                <c:pt idx="0">
                  <c:v>Porcentaje</c:v>
                </c:pt>
              </c:strCache>
            </c:strRef>
          </c:tx>
          <c:spPr>
            <a:solidFill>
              <a:schemeClr val="accent2"/>
            </a:solidFill>
            <a:ln>
              <a:noFill/>
            </a:ln>
            <a:effectLst/>
          </c:spPr>
          <c:invertIfNegative val="0"/>
          <c:cat>
            <c:strRef>
              <c:f>'REACTIVO 16'!$B$2:$B$8</c:f>
              <c:strCache>
                <c:ptCount val="7"/>
                <c:pt idx="0">
                  <c:v>Cansancio o agotamiento general</c:v>
                </c:pt>
                <c:pt idx="1">
                  <c:v>Estrés y frustración</c:v>
                </c:pt>
                <c:pt idx="2">
                  <c:v>Molestias físicas (espalda, cabeza, ojos)</c:v>
                </c:pt>
                <c:pt idx="3">
                  <c:v>Cansancio y satisfacción (juntos)</c:v>
                </c:pt>
                <c:pt idx="4">
                  <c:v>Satisfacción o sensación de logro</c:v>
                </c:pt>
                <c:pt idx="5">
                  <c:v>Motivación o ganas de seguir</c:v>
                </c:pt>
                <c:pt idx="6">
                  <c:v>Sin experiencia o no aplica</c:v>
                </c:pt>
              </c:strCache>
            </c:strRef>
          </c:cat>
          <c:val>
            <c:numRef>
              <c:f>'REACTIVO 16'!$D$2:$D$8</c:f>
              <c:numCache>
                <c:formatCode>0.00</c:formatCode>
                <c:ptCount val="7"/>
                <c:pt idx="0">
                  <c:v>41.44736842105263</c:v>
                </c:pt>
                <c:pt idx="1">
                  <c:v>19.078947368421055</c:v>
                </c:pt>
                <c:pt idx="2">
                  <c:v>15.131578947368421</c:v>
                </c:pt>
                <c:pt idx="3">
                  <c:v>12.5</c:v>
                </c:pt>
                <c:pt idx="4">
                  <c:v>7.2368421052631584</c:v>
                </c:pt>
                <c:pt idx="5">
                  <c:v>3.2894736842105261</c:v>
                </c:pt>
                <c:pt idx="6">
                  <c:v>1.3157894736842104</c:v>
                </c:pt>
              </c:numCache>
            </c:numRef>
          </c:val>
          <c:extLst>
            <c:ext xmlns:c16="http://schemas.microsoft.com/office/drawing/2014/chart" uri="{C3380CC4-5D6E-409C-BE32-E72D297353CC}">
              <c16:uniqueId val="{00000001-45D7-4447-ADF3-786EC338793C}"/>
            </c:ext>
          </c:extLst>
        </c:ser>
        <c:ser>
          <c:idx val="2"/>
          <c:order val="2"/>
          <c:tx>
            <c:strRef>
              <c:f>'REACTIVO 16'!$E$1</c:f>
              <c:strCache>
                <c:ptCount val="1"/>
                <c:pt idx="0">
                  <c:v>Frecuencia relativa</c:v>
                </c:pt>
              </c:strCache>
            </c:strRef>
          </c:tx>
          <c:spPr>
            <a:solidFill>
              <a:schemeClr val="accent3"/>
            </a:solidFill>
            <a:ln>
              <a:noFill/>
            </a:ln>
            <a:effectLst/>
          </c:spPr>
          <c:invertIfNegative val="0"/>
          <c:cat>
            <c:strRef>
              <c:f>'REACTIVO 16'!$B$2:$B$8</c:f>
              <c:strCache>
                <c:ptCount val="7"/>
                <c:pt idx="0">
                  <c:v>Cansancio o agotamiento general</c:v>
                </c:pt>
                <c:pt idx="1">
                  <c:v>Estrés y frustración</c:v>
                </c:pt>
                <c:pt idx="2">
                  <c:v>Molestias físicas (espalda, cabeza, ojos)</c:v>
                </c:pt>
                <c:pt idx="3">
                  <c:v>Cansancio y satisfacción (juntos)</c:v>
                </c:pt>
                <c:pt idx="4">
                  <c:v>Satisfacción o sensación de logro</c:v>
                </c:pt>
                <c:pt idx="5">
                  <c:v>Motivación o ganas de seguir</c:v>
                </c:pt>
                <c:pt idx="6">
                  <c:v>Sin experiencia o no aplica</c:v>
                </c:pt>
              </c:strCache>
            </c:strRef>
          </c:cat>
          <c:val>
            <c:numRef>
              <c:f>'REACTIVO 16'!$E$2:$E$8</c:f>
              <c:numCache>
                <c:formatCode>0.00</c:formatCode>
                <c:ptCount val="7"/>
                <c:pt idx="0">
                  <c:v>0.41447368421052633</c:v>
                </c:pt>
                <c:pt idx="1">
                  <c:v>0.19078947368421054</c:v>
                </c:pt>
                <c:pt idx="2">
                  <c:v>0.15131578947368421</c:v>
                </c:pt>
                <c:pt idx="3">
                  <c:v>0.125</c:v>
                </c:pt>
                <c:pt idx="4">
                  <c:v>7.2368421052631582E-2</c:v>
                </c:pt>
                <c:pt idx="5">
                  <c:v>3.2894736842105261E-2</c:v>
                </c:pt>
                <c:pt idx="6">
                  <c:v>1.3157894736842105E-2</c:v>
                </c:pt>
              </c:numCache>
            </c:numRef>
          </c:val>
          <c:extLst>
            <c:ext xmlns:c16="http://schemas.microsoft.com/office/drawing/2014/chart" uri="{C3380CC4-5D6E-409C-BE32-E72D297353CC}">
              <c16:uniqueId val="{00000002-45D7-4447-ADF3-786EC338793C}"/>
            </c:ext>
          </c:extLst>
        </c:ser>
        <c:dLbls>
          <c:showLegendKey val="0"/>
          <c:showVal val="0"/>
          <c:showCatName val="0"/>
          <c:showSerName val="0"/>
          <c:showPercent val="0"/>
          <c:showBubbleSize val="0"/>
        </c:dLbls>
        <c:gapWidth val="219"/>
        <c:overlap val="-27"/>
        <c:axId val="1397951456"/>
        <c:axId val="1397947616"/>
      </c:barChart>
      <c:catAx>
        <c:axId val="139795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7947616"/>
        <c:crosses val="autoZero"/>
        <c:auto val="1"/>
        <c:lblAlgn val="ctr"/>
        <c:lblOffset val="100"/>
        <c:noMultiLvlLbl val="0"/>
      </c:catAx>
      <c:valAx>
        <c:axId val="139794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795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FRECUENCIA!$C$2</c:f>
              <c:strCache>
                <c:ptCount val="1"/>
                <c:pt idx="0">
                  <c:v>FRECUENCIA ABSOLUTA</c:v>
                </c:pt>
              </c:strCache>
            </c:strRef>
          </c:tx>
          <c:spPr>
            <a:solidFill>
              <a:schemeClr val="accent1"/>
            </a:solidFill>
            <a:ln>
              <a:noFill/>
            </a:ln>
            <a:effectLst/>
          </c:spPr>
          <c:invertIfNegative val="0"/>
          <c:cat>
            <c:strRef>
              <c:f>FRECUENCIA!$B$3:$B$7</c:f>
              <c:strCache>
                <c:ptCount val="5"/>
                <c:pt idx="0">
                  <c:v>NUNCA</c:v>
                </c:pt>
                <c:pt idx="1">
                  <c:v>CASI NUNCA</c:v>
                </c:pt>
                <c:pt idx="2">
                  <c:v>ALGUNAS VECES</c:v>
                </c:pt>
                <c:pt idx="3">
                  <c:v>CASI SIEMPRE</c:v>
                </c:pt>
                <c:pt idx="4">
                  <c:v>SIEMPRE</c:v>
                </c:pt>
              </c:strCache>
            </c:strRef>
          </c:cat>
          <c:val>
            <c:numRef>
              <c:f>FRECUENCIA!$C$3:$C$7</c:f>
              <c:numCache>
                <c:formatCode>General</c:formatCode>
                <c:ptCount val="5"/>
                <c:pt idx="0">
                  <c:v>11</c:v>
                </c:pt>
                <c:pt idx="1">
                  <c:v>48</c:v>
                </c:pt>
                <c:pt idx="2">
                  <c:v>116</c:v>
                </c:pt>
                <c:pt idx="3">
                  <c:v>42</c:v>
                </c:pt>
                <c:pt idx="4">
                  <c:v>18</c:v>
                </c:pt>
              </c:numCache>
            </c:numRef>
          </c:val>
          <c:extLst>
            <c:ext xmlns:c16="http://schemas.microsoft.com/office/drawing/2014/chart" uri="{C3380CC4-5D6E-409C-BE32-E72D297353CC}">
              <c16:uniqueId val="{00000000-7EC7-4A7D-BE78-FED1F496758D}"/>
            </c:ext>
          </c:extLst>
        </c:ser>
        <c:ser>
          <c:idx val="1"/>
          <c:order val="1"/>
          <c:tx>
            <c:strRef>
              <c:f>FRECUENCIA!$D$2</c:f>
              <c:strCache>
                <c:ptCount val="1"/>
                <c:pt idx="0">
                  <c:v>FRECUENCIA RELATIVA</c:v>
                </c:pt>
              </c:strCache>
            </c:strRef>
          </c:tx>
          <c:spPr>
            <a:solidFill>
              <a:schemeClr val="accent2"/>
            </a:solidFill>
            <a:ln>
              <a:noFill/>
            </a:ln>
            <a:effectLst/>
          </c:spPr>
          <c:invertIfNegative val="0"/>
          <c:cat>
            <c:strRef>
              <c:f>FRECUENCIA!$B$3:$B$7</c:f>
              <c:strCache>
                <c:ptCount val="5"/>
                <c:pt idx="0">
                  <c:v>NUNCA</c:v>
                </c:pt>
                <c:pt idx="1">
                  <c:v>CASI NUNCA</c:v>
                </c:pt>
                <c:pt idx="2">
                  <c:v>ALGUNAS VECES</c:v>
                </c:pt>
                <c:pt idx="3">
                  <c:v>CASI SIEMPRE</c:v>
                </c:pt>
                <c:pt idx="4">
                  <c:v>SIEMPRE</c:v>
                </c:pt>
              </c:strCache>
            </c:strRef>
          </c:cat>
          <c:val>
            <c:numRef>
              <c:f>FRECUENCIA!$D$3:$D$7</c:f>
              <c:numCache>
                <c:formatCode>0.00</c:formatCode>
                <c:ptCount val="5"/>
                <c:pt idx="0">
                  <c:v>4.6808510638297871E-2</c:v>
                </c:pt>
                <c:pt idx="1">
                  <c:v>0.20425531914893616</c:v>
                </c:pt>
                <c:pt idx="2">
                  <c:v>0.49361702127659574</c:v>
                </c:pt>
                <c:pt idx="3">
                  <c:v>0.17872340425531916</c:v>
                </c:pt>
                <c:pt idx="4">
                  <c:v>7.6595744680851063E-2</c:v>
                </c:pt>
              </c:numCache>
            </c:numRef>
          </c:val>
          <c:extLst>
            <c:ext xmlns:c16="http://schemas.microsoft.com/office/drawing/2014/chart" uri="{C3380CC4-5D6E-409C-BE32-E72D297353CC}">
              <c16:uniqueId val="{00000001-7EC7-4A7D-BE78-FED1F496758D}"/>
            </c:ext>
          </c:extLst>
        </c:ser>
        <c:ser>
          <c:idx val="2"/>
          <c:order val="2"/>
          <c:tx>
            <c:strRef>
              <c:f>FRECUENCIA!$E$2</c:f>
              <c:strCache>
                <c:ptCount val="1"/>
                <c:pt idx="0">
                  <c:v>PORCENTAJE</c:v>
                </c:pt>
              </c:strCache>
            </c:strRef>
          </c:tx>
          <c:spPr>
            <a:solidFill>
              <a:schemeClr val="accent3"/>
            </a:solidFill>
            <a:ln>
              <a:noFill/>
            </a:ln>
            <a:effectLst/>
          </c:spPr>
          <c:invertIfNegative val="0"/>
          <c:cat>
            <c:strRef>
              <c:f>FRECUENCIA!$B$3:$B$7</c:f>
              <c:strCache>
                <c:ptCount val="5"/>
                <c:pt idx="0">
                  <c:v>NUNCA</c:v>
                </c:pt>
                <c:pt idx="1">
                  <c:v>CASI NUNCA</c:v>
                </c:pt>
                <c:pt idx="2">
                  <c:v>ALGUNAS VECES</c:v>
                </c:pt>
                <c:pt idx="3">
                  <c:v>CASI SIEMPRE</c:v>
                </c:pt>
                <c:pt idx="4">
                  <c:v>SIEMPRE</c:v>
                </c:pt>
              </c:strCache>
            </c:strRef>
          </c:cat>
          <c:val>
            <c:numRef>
              <c:f>FRECUENCIA!$E$3:$E$7</c:f>
              <c:numCache>
                <c:formatCode>0.00</c:formatCode>
                <c:ptCount val="5"/>
                <c:pt idx="0">
                  <c:v>4.6808510638297873</c:v>
                </c:pt>
                <c:pt idx="1">
                  <c:v>20.425531914893615</c:v>
                </c:pt>
                <c:pt idx="2">
                  <c:v>49.361702127659576</c:v>
                </c:pt>
                <c:pt idx="3">
                  <c:v>17.872340425531917</c:v>
                </c:pt>
                <c:pt idx="4">
                  <c:v>7.6595744680851059</c:v>
                </c:pt>
              </c:numCache>
            </c:numRef>
          </c:val>
          <c:extLst>
            <c:ext xmlns:c16="http://schemas.microsoft.com/office/drawing/2014/chart" uri="{C3380CC4-5D6E-409C-BE32-E72D297353CC}">
              <c16:uniqueId val="{00000002-7EC7-4A7D-BE78-FED1F496758D}"/>
            </c:ext>
          </c:extLst>
        </c:ser>
        <c:ser>
          <c:idx val="3"/>
          <c:order val="3"/>
          <c:tx>
            <c:strRef>
              <c:f>FRECUENCIA!$F$2</c:f>
              <c:strCache>
                <c:ptCount val="1"/>
                <c:pt idx="0">
                  <c:v>FA(FRECUENCIA ACUMULADA)</c:v>
                </c:pt>
              </c:strCache>
            </c:strRef>
          </c:tx>
          <c:spPr>
            <a:solidFill>
              <a:schemeClr val="accent4"/>
            </a:solidFill>
            <a:ln>
              <a:noFill/>
            </a:ln>
            <a:effectLst/>
          </c:spPr>
          <c:invertIfNegative val="0"/>
          <c:cat>
            <c:strRef>
              <c:f>FRECUENCIA!$B$3:$B$7</c:f>
              <c:strCache>
                <c:ptCount val="5"/>
                <c:pt idx="0">
                  <c:v>NUNCA</c:v>
                </c:pt>
                <c:pt idx="1">
                  <c:v>CASI NUNCA</c:v>
                </c:pt>
                <c:pt idx="2">
                  <c:v>ALGUNAS VECES</c:v>
                </c:pt>
                <c:pt idx="3">
                  <c:v>CASI SIEMPRE</c:v>
                </c:pt>
                <c:pt idx="4">
                  <c:v>SIEMPRE</c:v>
                </c:pt>
              </c:strCache>
            </c:strRef>
          </c:cat>
          <c:val>
            <c:numRef>
              <c:f>FRECUENCIA!$F$3:$F$7</c:f>
              <c:numCache>
                <c:formatCode>General</c:formatCode>
                <c:ptCount val="5"/>
                <c:pt idx="0">
                  <c:v>11</c:v>
                </c:pt>
                <c:pt idx="1">
                  <c:v>59</c:v>
                </c:pt>
                <c:pt idx="2">
                  <c:v>175</c:v>
                </c:pt>
                <c:pt idx="3">
                  <c:v>217</c:v>
                </c:pt>
                <c:pt idx="4">
                  <c:v>235</c:v>
                </c:pt>
              </c:numCache>
            </c:numRef>
          </c:val>
          <c:extLst>
            <c:ext xmlns:c16="http://schemas.microsoft.com/office/drawing/2014/chart" uri="{C3380CC4-5D6E-409C-BE32-E72D297353CC}">
              <c16:uniqueId val="{00000003-7EC7-4A7D-BE78-FED1F496758D}"/>
            </c:ext>
          </c:extLst>
        </c:ser>
        <c:ser>
          <c:idx val="4"/>
          <c:order val="4"/>
          <c:tx>
            <c:strRef>
              <c:f>FRECUENCIA!$G$2</c:f>
              <c:strCache>
                <c:ptCount val="1"/>
                <c:pt idx="0">
                  <c:v>% ACUMULADO</c:v>
                </c:pt>
              </c:strCache>
            </c:strRef>
          </c:tx>
          <c:spPr>
            <a:solidFill>
              <a:schemeClr val="accent5"/>
            </a:solidFill>
            <a:ln>
              <a:noFill/>
            </a:ln>
            <a:effectLst/>
          </c:spPr>
          <c:invertIfNegative val="0"/>
          <c:cat>
            <c:strRef>
              <c:f>FRECUENCIA!$B$3:$B$7</c:f>
              <c:strCache>
                <c:ptCount val="5"/>
                <c:pt idx="0">
                  <c:v>NUNCA</c:v>
                </c:pt>
                <c:pt idx="1">
                  <c:v>CASI NUNCA</c:v>
                </c:pt>
                <c:pt idx="2">
                  <c:v>ALGUNAS VECES</c:v>
                </c:pt>
                <c:pt idx="3">
                  <c:v>CASI SIEMPRE</c:v>
                </c:pt>
                <c:pt idx="4">
                  <c:v>SIEMPRE</c:v>
                </c:pt>
              </c:strCache>
            </c:strRef>
          </c:cat>
          <c:val>
            <c:numRef>
              <c:f>FRECUENCIA!$G$3:$G$7</c:f>
              <c:numCache>
                <c:formatCode>0.00</c:formatCode>
                <c:ptCount val="5"/>
                <c:pt idx="0">
                  <c:v>4.6808510638297873</c:v>
                </c:pt>
                <c:pt idx="1">
                  <c:v>25.106382978723403</c:v>
                </c:pt>
                <c:pt idx="2">
                  <c:v>74.468085106382972</c:v>
                </c:pt>
                <c:pt idx="3">
                  <c:v>92.340425531914889</c:v>
                </c:pt>
                <c:pt idx="4">
                  <c:v>100</c:v>
                </c:pt>
              </c:numCache>
            </c:numRef>
          </c:val>
          <c:extLst>
            <c:ext xmlns:c16="http://schemas.microsoft.com/office/drawing/2014/chart" uri="{C3380CC4-5D6E-409C-BE32-E72D297353CC}">
              <c16:uniqueId val="{00000004-7EC7-4A7D-BE78-FED1F496758D}"/>
            </c:ext>
          </c:extLst>
        </c:ser>
        <c:dLbls>
          <c:showLegendKey val="0"/>
          <c:showVal val="0"/>
          <c:showCatName val="0"/>
          <c:showSerName val="0"/>
          <c:showPercent val="0"/>
          <c:showBubbleSize val="0"/>
        </c:dLbls>
        <c:gapWidth val="219"/>
        <c:overlap val="-27"/>
        <c:axId val="1398016256"/>
        <c:axId val="1398003296"/>
      </c:barChart>
      <c:catAx>
        <c:axId val="13980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03296"/>
        <c:crosses val="autoZero"/>
        <c:auto val="1"/>
        <c:lblAlgn val="ctr"/>
        <c:lblOffset val="100"/>
        <c:noMultiLvlLbl val="0"/>
      </c:catAx>
      <c:valAx>
        <c:axId val="139800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16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a:t>
            </a:r>
            <a:r>
              <a:rPr lang="es-ES_tradnl" baseline="0"/>
              <a:t> 7</a:t>
            </a:r>
            <a:endParaRPr lang="es-ES_trad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FRECUENCIA!$C$15</c:f>
              <c:strCache>
                <c:ptCount val="1"/>
                <c:pt idx="0">
                  <c:v>FRECUENCIA ABSOLUTA</c:v>
                </c:pt>
              </c:strCache>
            </c:strRef>
          </c:tx>
          <c:spPr>
            <a:solidFill>
              <a:schemeClr val="accent1"/>
            </a:solidFill>
            <a:ln>
              <a:noFill/>
            </a:ln>
            <a:effectLst/>
          </c:spPr>
          <c:invertIfNegative val="0"/>
          <c:cat>
            <c:strRef>
              <c:f>FRECUENCIA!$B$16:$B$21</c:f>
              <c:strCache>
                <c:ptCount val="5"/>
                <c:pt idx="0">
                  <c:v>NUNCA</c:v>
                </c:pt>
                <c:pt idx="1">
                  <c:v>CASI NUNCA</c:v>
                </c:pt>
                <c:pt idx="2">
                  <c:v>ALGUNAS VECES</c:v>
                </c:pt>
                <c:pt idx="3">
                  <c:v>CASI SIEMPRE</c:v>
                </c:pt>
                <c:pt idx="4">
                  <c:v>SIEMPRE</c:v>
                </c:pt>
              </c:strCache>
            </c:strRef>
          </c:cat>
          <c:val>
            <c:numRef>
              <c:f>FRECUENCIA!$C$16:$C$21</c:f>
              <c:numCache>
                <c:formatCode>General</c:formatCode>
                <c:ptCount val="6"/>
                <c:pt idx="0">
                  <c:v>8</c:v>
                </c:pt>
                <c:pt idx="1">
                  <c:v>54</c:v>
                </c:pt>
                <c:pt idx="2">
                  <c:v>93</c:v>
                </c:pt>
                <c:pt idx="3">
                  <c:v>54</c:v>
                </c:pt>
                <c:pt idx="4">
                  <c:v>26</c:v>
                </c:pt>
                <c:pt idx="5">
                  <c:v>235</c:v>
                </c:pt>
              </c:numCache>
            </c:numRef>
          </c:val>
          <c:extLst>
            <c:ext xmlns:c16="http://schemas.microsoft.com/office/drawing/2014/chart" uri="{C3380CC4-5D6E-409C-BE32-E72D297353CC}">
              <c16:uniqueId val="{00000000-E5A2-4497-B483-0FD250AD89E9}"/>
            </c:ext>
          </c:extLst>
        </c:ser>
        <c:ser>
          <c:idx val="1"/>
          <c:order val="1"/>
          <c:tx>
            <c:strRef>
              <c:f>FRECUENCIA!$D$15</c:f>
              <c:strCache>
                <c:ptCount val="1"/>
                <c:pt idx="0">
                  <c:v>FRECUENCIA RELATIVA</c:v>
                </c:pt>
              </c:strCache>
            </c:strRef>
          </c:tx>
          <c:spPr>
            <a:solidFill>
              <a:schemeClr val="accent2"/>
            </a:solidFill>
            <a:ln>
              <a:noFill/>
            </a:ln>
            <a:effectLst/>
          </c:spPr>
          <c:invertIfNegative val="0"/>
          <c:cat>
            <c:strRef>
              <c:f>FRECUENCIA!$B$16:$B$21</c:f>
              <c:strCache>
                <c:ptCount val="5"/>
                <c:pt idx="0">
                  <c:v>NUNCA</c:v>
                </c:pt>
                <c:pt idx="1">
                  <c:v>CASI NUNCA</c:v>
                </c:pt>
                <c:pt idx="2">
                  <c:v>ALGUNAS VECES</c:v>
                </c:pt>
                <c:pt idx="3">
                  <c:v>CASI SIEMPRE</c:v>
                </c:pt>
                <c:pt idx="4">
                  <c:v>SIEMPRE</c:v>
                </c:pt>
              </c:strCache>
            </c:strRef>
          </c:cat>
          <c:val>
            <c:numRef>
              <c:f>FRECUENCIA!$D$16:$D$21</c:f>
              <c:numCache>
                <c:formatCode>0.00</c:formatCode>
                <c:ptCount val="6"/>
                <c:pt idx="0">
                  <c:v>3.4042553191489362E-2</c:v>
                </c:pt>
                <c:pt idx="1">
                  <c:v>0.22978723404255319</c:v>
                </c:pt>
                <c:pt idx="2">
                  <c:v>0.39574468085106385</c:v>
                </c:pt>
                <c:pt idx="3">
                  <c:v>0.22978723404255319</c:v>
                </c:pt>
                <c:pt idx="4">
                  <c:v>0.11063829787234042</c:v>
                </c:pt>
                <c:pt idx="5">
                  <c:v>1</c:v>
                </c:pt>
              </c:numCache>
            </c:numRef>
          </c:val>
          <c:extLst>
            <c:ext xmlns:c16="http://schemas.microsoft.com/office/drawing/2014/chart" uri="{C3380CC4-5D6E-409C-BE32-E72D297353CC}">
              <c16:uniqueId val="{00000001-E5A2-4497-B483-0FD250AD89E9}"/>
            </c:ext>
          </c:extLst>
        </c:ser>
        <c:ser>
          <c:idx val="2"/>
          <c:order val="2"/>
          <c:tx>
            <c:strRef>
              <c:f>FRECUENCIA!$E$15</c:f>
              <c:strCache>
                <c:ptCount val="1"/>
                <c:pt idx="0">
                  <c:v>PORCENTAJE</c:v>
                </c:pt>
              </c:strCache>
            </c:strRef>
          </c:tx>
          <c:spPr>
            <a:solidFill>
              <a:schemeClr val="accent3"/>
            </a:solidFill>
            <a:ln>
              <a:noFill/>
            </a:ln>
            <a:effectLst/>
          </c:spPr>
          <c:invertIfNegative val="0"/>
          <c:cat>
            <c:strRef>
              <c:f>FRECUENCIA!$B$16:$B$21</c:f>
              <c:strCache>
                <c:ptCount val="5"/>
                <c:pt idx="0">
                  <c:v>NUNCA</c:v>
                </c:pt>
                <c:pt idx="1">
                  <c:v>CASI NUNCA</c:v>
                </c:pt>
                <c:pt idx="2">
                  <c:v>ALGUNAS VECES</c:v>
                </c:pt>
                <c:pt idx="3">
                  <c:v>CASI SIEMPRE</c:v>
                </c:pt>
                <c:pt idx="4">
                  <c:v>SIEMPRE</c:v>
                </c:pt>
              </c:strCache>
            </c:strRef>
          </c:cat>
          <c:val>
            <c:numRef>
              <c:f>FRECUENCIA!$E$16:$E$21</c:f>
              <c:numCache>
                <c:formatCode>0.00</c:formatCode>
                <c:ptCount val="6"/>
                <c:pt idx="0">
                  <c:v>3.4042553191489362</c:v>
                </c:pt>
                <c:pt idx="1">
                  <c:v>22.978723404255319</c:v>
                </c:pt>
                <c:pt idx="2">
                  <c:v>39.574468085106382</c:v>
                </c:pt>
                <c:pt idx="3">
                  <c:v>22.978723404255319</c:v>
                </c:pt>
                <c:pt idx="4">
                  <c:v>11.063829787234042</c:v>
                </c:pt>
                <c:pt idx="5">
                  <c:v>100</c:v>
                </c:pt>
              </c:numCache>
            </c:numRef>
          </c:val>
          <c:extLst>
            <c:ext xmlns:c16="http://schemas.microsoft.com/office/drawing/2014/chart" uri="{C3380CC4-5D6E-409C-BE32-E72D297353CC}">
              <c16:uniqueId val="{00000002-E5A2-4497-B483-0FD250AD89E9}"/>
            </c:ext>
          </c:extLst>
        </c:ser>
        <c:ser>
          <c:idx val="3"/>
          <c:order val="3"/>
          <c:tx>
            <c:strRef>
              <c:f>FRECUENCIA!$F$15</c:f>
              <c:strCache>
                <c:ptCount val="1"/>
                <c:pt idx="0">
                  <c:v>FA(FRECUENCIA ACUMULADA)</c:v>
                </c:pt>
              </c:strCache>
            </c:strRef>
          </c:tx>
          <c:spPr>
            <a:solidFill>
              <a:schemeClr val="accent4"/>
            </a:solidFill>
            <a:ln>
              <a:noFill/>
            </a:ln>
            <a:effectLst/>
          </c:spPr>
          <c:invertIfNegative val="0"/>
          <c:cat>
            <c:strRef>
              <c:f>FRECUENCIA!$B$16:$B$21</c:f>
              <c:strCache>
                <c:ptCount val="5"/>
                <c:pt idx="0">
                  <c:v>NUNCA</c:v>
                </c:pt>
                <c:pt idx="1">
                  <c:v>CASI NUNCA</c:v>
                </c:pt>
                <c:pt idx="2">
                  <c:v>ALGUNAS VECES</c:v>
                </c:pt>
                <c:pt idx="3">
                  <c:v>CASI SIEMPRE</c:v>
                </c:pt>
                <c:pt idx="4">
                  <c:v>SIEMPRE</c:v>
                </c:pt>
              </c:strCache>
            </c:strRef>
          </c:cat>
          <c:val>
            <c:numRef>
              <c:f>FRECUENCIA!$F$16:$F$21</c:f>
              <c:numCache>
                <c:formatCode>0.00</c:formatCode>
                <c:ptCount val="6"/>
                <c:pt idx="0">
                  <c:v>11</c:v>
                </c:pt>
                <c:pt idx="1">
                  <c:v>65</c:v>
                </c:pt>
                <c:pt idx="2">
                  <c:v>158</c:v>
                </c:pt>
                <c:pt idx="3">
                  <c:v>212</c:v>
                </c:pt>
                <c:pt idx="4">
                  <c:v>238</c:v>
                </c:pt>
                <c:pt idx="5">
                  <c:v>235</c:v>
                </c:pt>
              </c:numCache>
            </c:numRef>
          </c:val>
          <c:extLst>
            <c:ext xmlns:c16="http://schemas.microsoft.com/office/drawing/2014/chart" uri="{C3380CC4-5D6E-409C-BE32-E72D297353CC}">
              <c16:uniqueId val="{00000003-E5A2-4497-B483-0FD250AD89E9}"/>
            </c:ext>
          </c:extLst>
        </c:ser>
        <c:ser>
          <c:idx val="4"/>
          <c:order val="4"/>
          <c:tx>
            <c:strRef>
              <c:f>FRECUENCIA!$G$15</c:f>
              <c:strCache>
                <c:ptCount val="1"/>
                <c:pt idx="0">
                  <c:v>% ACUMULADO</c:v>
                </c:pt>
              </c:strCache>
            </c:strRef>
          </c:tx>
          <c:spPr>
            <a:solidFill>
              <a:schemeClr val="accent5"/>
            </a:solidFill>
            <a:ln>
              <a:noFill/>
            </a:ln>
            <a:effectLst/>
          </c:spPr>
          <c:invertIfNegative val="0"/>
          <c:cat>
            <c:strRef>
              <c:f>FRECUENCIA!$B$16:$B$21</c:f>
              <c:strCache>
                <c:ptCount val="5"/>
                <c:pt idx="0">
                  <c:v>NUNCA</c:v>
                </c:pt>
                <c:pt idx="1">
                  <c:v>CASI NUNCA</c:v>
                </c:pt>
                <c:pt idx="2">
                  <c:v>ALGUNAS VECES</c:v>
                </c:pt>
                <c:pt idx="3">
                  <c:v>CASI SIEMPRE</c:v>
                </c:pt>
                <c:pt idx="4">
                  <c:v>SIEMPRE</c:v>
                </c:pt>
              </c:strCache>
            </c:strRef>
          </c:cat>
          <c:val>
            <c:numRef>
              <c:f>FRECUENCIA!$G$16:$G$21</c:f>
              <c:numCache>
                <c:formatCode>0.00</c:formatCode>
                <c:ptCount val="6"/>
                <c:pt idx="0">
                  <c:v>4.6808510638297873</c:v>
                </c:pt>
                <c:pt idx="1">
                  <c:v>27.659574468085108</c:v>
                </c:pt>
                <c:pt idx="2">
                  <c:v>67.234042553191486</c:v>
                </c:pt>
                <c:pt idx="3">
                  <c:v>90.212765957446805</c:v>
                </c:pt>
                <c:pt idx="4">
                  <c:v>101.27659574468085</c:v>
                </c:pt>
                <c:pt idx="5">
                  <c:v>100</c:v>
                </c:pt>
              </c:numCache>
            </c:numRef>
          </c:val>
          <c:extLst>
            <c:ext xmlns:c16="http://schemas.microsoft.com/office/drawing/2014/chart" uri="{C3380CC4-5D6E-409C-BE32-E72D297353CC}">
              <c16:uniqueId val="{00000004-E5A2-4497-B483-0FD250AD89E9}"/>
            </c:ext>
          </c:extLst>
        </c:ser>
        <c:dLbls>
          <c:showLegendKey val="0"/>
          <c:showVal val="0"/>
          <c:showCatName val="0"/>
          <c:showSerName val="0"/>
          <c:showPercent val="0"/>
          <c:showBubbleSize val="0"/>
        </c:dLbls>
        <c:gapWidth val="219"/>
        <c:overlap val="-27"/>
        <c:axId val="1398010976"/>
        <c:axId val="1398013856"/>
      </c:barChart>
      <c:catAx>
        <c:axId val="139801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13856"/>
        <c:crosses val="autoZero"/>
        <c:auto val="1"/>
        <c:lblAlgn val="ctr"/>
        <c:lblOffset val="100"/>
        <c:noMultiLvlLbl val="0"/>
      </c:catAx>
      <c:valAx>
        <c:axId val="139801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10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FRECUENCIA!$C$28</c:f>
              <c:strCache>
                <c:ptCount val="1"/>
                <c:pt idx="0">
                  <c:v>FRECUENCIA ABSOLUTA</c:v>
                </c:pt>
              </c:strCache>
            </c:strRef>
          </c:tx>
          <c:spPr>
            <a:solidFill>
              <a:schemeClr val="accent1"/>
            </a:solidFill>
            <a:ln>
              <a:noFill/>
            </a:ln>
            <a:effectLst/>
          </c:spPr>
          <c:invertIfNegative val="0"/>
          <c:cat>
            <c:strRef>
              <c:f>FRECUENCIA!$B$29:$B$33</c:f>
              <c:strCache>
                <c:ptCount val="5"/>
                <c:pt idx="0">
                  <c:v>NUNCA</c:v>
                </c:pt>
                <c:pt idx="1">
                  <c:v>CASI NUNCA</c:v>
                </c:pt>
                <c:pt idx="2">
                  <c:v>ALGUNAS VECES</c:v>
                </c:pt>
                <c:pt idx="3">
                  <c:v>CASI SIEMPRE</c:v>
                </c:pt>
                <c:pt idx="4">
                  <c:v>SIEMPRE</c:v>
                </c:pt>
              </c:strCache>
            </c:strRef>
          </c:cat>
          <c:val>
            <c:numRef>
              <c:f>FRECUENCIA!$C$29:$C$33</c:f>
              <c:numCache>
                <c:formatCode>General</c:formatCode>
                <c:ptCount val="5"/>
                <c:pt idx="0">
                  <c:v>14</c:v>
                </c:pt>
                <c:pt idx="1">
                  <c:v>46</c:v>
                </c:pt>
                <c:pt idx="2">
                  <c:v>106</c:v>
                </c:pt>
                <c:pt idx="3">
                  <c:v>47</c:v>
                </c:pt>
                <c:pt idx="4">
                  <c:v>22</c:v>
                </c:pt>
              </c:numCache>
            </c:numRef>
          </c:val>
          <c:extLst>
            <c:ext xmlns:c16="http://schemas.microsoft.com/office/drawing/2014/chart" uri="{C3380CC4-5D6E-409C-BE32-E72D297353CC}">
              <c16:uniqueId val="{00000000-BBF9-46F7-B430-132344F462EB}"/>
            </c:ext>
          </c:extLst>
        </c:ser>
        <c:ser>
          <c:idx val="1"/>
          <c:order val="1"/>
          <c:tx>
            <c:strRef>
              <c:f>FRECUENCIA!$D$28</c:f>
              <c:strCache>
                <c:ptCount val="1"/>
                <c:pt idx="0">
                  <c:v>FRECUENCIA RELATIVA</c:v>
                </c:pt>
              </c:strCache>
            </c:strRef>
          </c:tx>
          <c:spPr>
            <a:solidFill>
              <a:schemeClr val="accent2"/>
            </a:solidFill>
            <a:ln>
              <a:noFill/>
            </a:ln>
            <a:effectLst/>
          </c:spPr>
          <c:invertIfNegative val="0"/>
          <c:cat>
            <c:strRef>
              <c:f>FRECUENCIA!$B$29:$B$33</c:f>
              <c:strCache>
                <c:ptCount val="5"/>
                <c:pt idx="0">
                  <c:v>NUNCA</c:v>
                </c:pt>
                <c:pt idx="1">
                  <c:v>CASI NUNCA</c:v>
                </c:pt>
                <c:pt idx="2">
                  <c:v>ALGUNAS VECES</c:v>
                </c:pt>
                <c:pt idx="3">
                  <c:v>CASI SIEMPRE</c:v>
                </c:pt>
                <c:pt idx="4">
                  <c:v>SIEMPRE</c:v>
                </c:pt>
              </c:strCache>
            </c:strRef>
          </c:cat>
          <c:val>
            <c:numRef>
              <c:f>FRECUENCIA!$D$29:$D$33</c:f>
              <c:numCache>
                <c:formatCode>0.00</c:formatCode>
                <c:ptCount val="5"/>
                <c:pt idx="0">
                  <c:v>5.9574468085106386E-2</c:v>
                </c:pt>
                <c:pt idx="1">
                  <c:v>0.19574468085106383</c:v>
                </c:pt>
                <c:pt idx="2">
                  <c:v>0.45106382978723403</c:v>
                </c:pt>
                <c:pt idx="3">
                  <c:v>0.2</c:v>
                </c:pt>
                <c:pt idx="4">
                  <c:v>9.3617021276595741E-2</c:v>
                </c:pt>
              </c:numCache>
            </c:numRef>
          </c:val>
          <c:extLst>
            <c:ext xmlns:c16="http://schemas.microsoft.com/office/drawing/2014/chart" uri="{C3380CC4-5D6E-409C-BE32-E72D297353CC}">
              <c16:uniqueId val="{00000001-BBF9-46F7-B430-132344F462EB}"/>
            </c:ext>
          </c:extLst>
        </c:ser>
        <c:ser>
          <c:idx val="2"/>
          <c:order val="2"/>
          <c:tx>
            <c:strRef>
              <c:f>FRECUENCIA!$E$28</c:f>
              <c:strCache>
                <c:ptCount val="1"/>
                <c:pt idx="0">
                  <c:v>PORCENTAJE</c:v>
                </c:pt>
              </c:strCache>
            </c:strRef>
          </c:tx>
          <c:spPr>
            <a:solidFill>
              <a:schemeClr val="accent3"/>
            </a:solidFill>
            <a:ln>
              <a:noFill/>
            </a:ln>
            <a:effectLst/>
          </c:spPr>
          <c:invertIfNegative val="0"/>
          <c:cat>
            <c:strRef>
              <c:f>FRECUENCIA!$B$29:$B$33</c:f>
              <c:strCache>
                <c:ptCount val="5"/>
                <c:pt idx="0">
                  <c:v>NUNCA</c:v>
                </c:pt>
                <c:pt idx="1">
                  <c:v>CASI NUNCA</c:v>
                </c:pt>
                <c:pt idx="2">
                  <c:v>ALGUNAS VECES</c:v>
                </c:pt>
                <c:pt idx="3">
                  <c:v>CASI SIEMPRE</c:v>
                </c:pt>
                <c:pt idx="4">
                  <c:v>SIEMPRE</c:v>
                </c:pt>
              </c:strCache>
            </c:strRef>
          </c:cat>
          <c:val>
            <c:numRef>
              <c:f>FRECUENCIA!$E$29:$E$33</c:f>
              <c:numCache>
                <c:formatCode>0.00</c:formatCode>
                <c:ptCount val="5"/>
                <c:pt idx="0">
                  <c:v>5.9574468085106389</c:v>
                </c:pt>
                <c:pt idx="1">
                  <c:v>19.574468085106382</c:v>
                </c:pt>
                <c:pt idx="2">
                  <c:v>45.106382978723403</c:v>
                </c:pt>
                <c:pt idx="3">
                  <c:v>20</c:v>
                </c:pt>
                <c:pt idx="4">
                  <c:v>9.3617021276595747</c:v>
                </c:pt>
              </c:numCache>
            </c:numRef>
          </c:val>
          <c:extLst>
            <c:ext xmlns:c16="http://schemas.microsoft.com/office/drawing/2014/chart" uri="{C3380CC4-5D6E-409C-BE32-E72D297353CC}">
              <c16:uniqueId val="{00000002-BBF9-46F7-B430-132344F462EB}"/>
            </c:ext>
          </c:extLst>
        </c:ser>
        <c:ser>
          <c:idx val="3"/>
          <c:order val="3"/>
          <c:tx>
            <c:strRef>
              <c:f>FRECUENCIA!$F$28</c:f>
              <c:strCache>
                <c:ptCount val="1"/>
                <c:pt idx="0">
                  <c:v>FA(FRECUENCIA ACUMULADA)</c:v>
                </c:pt>
              </c:strCache>
            </c:strRef>
          </c:tx>
          <c:spPr>
            <a:solidFill>
              <a:schemeClr val="accent4"/>
            </a:solidFill>
            <a:ln>
              <a:noFill/>
            </a:ln>
            <a:effectLst/>
          </c:spPr>
          <c:invertIfNegative val="0"/>
          <c:cat>
            <c:strRef>
              <c:f>FRECUENCIA!$B$29:$B$33</c:f>
              <c:strCache>
                <c:ptCount val="5"/>
                <c:pt idx="0">
                  <c:v>NUNCA</c:v>
                </c:pt>
                <c:pt idx="1">
                  <c:v>CASI NUNCA</c:v>
                </c:pt>
                <c:pt idx="2">
                  <c:v>ALGUNAS VECES</c:v>
                </c:pt>
                <c:pt idx="3">
                  <c:v>CASI SIEMPRE</c:v>
                </c:pt>
                <c:pt idx="4">
                  <c:v>SIEMPRE</c:v>
                </c:pt>
              </c:strCache>
            </c:strRef>
          </c:cat>
          <c:val>
            <c:numRef>
              <c:f>FRECUENCIA!$F$29:$F$33</c:f>
              <c:numCache>
                <c:formatCode>0.00</c:formatCode>
                <c:ptCount val="5"/>
                <c:pt idx="0">
                  <c:v>11</c:v>
                </c:pt>
                <c:pt idx="1">
                  <c:v>57</c:v>
                </c:pt>
                <c:pt idx="2">
                  <c:v>163</c:v>
                </c:pt>
                <c:pt idx="3">
                  <c:v>210</c:v>
                </c:pt>
                <c:pt idx="4">
                  <c:v>232</c:v>
                </c:pt>
              </c:numCache>
            </c:numRef>
          </c:val>
          <c:extLst>
            <c:ext xmlns:c16="http://schemas.microsoft.com/office/drawing/2014/chart" uri="{C3380CC4-5D6E-409C-BE32-E72D297353CC}">
              <c16:uniqueId val="{00000003-BBF9-46F7-B430-132344F462EB}"/>
            </c:ext>
          </c:extLst>
        </c:ser>
        <c:ser>
          <c:idx val="4"/>
          <c:order val="4"/>
          <c:tx>
            <c:strRef>
              <c:f>FRECUENCIA!$G$28</c:f>
              <c:strCache>
                <c:ptCount val="1"/>
                <c:pt idx="0">
                  <c:v>% ACUMULADO</c:v>
                </c:pt>
              </c:strCache>
            </c:strRef>
          </c:tx>
          <c:spPr>
            <a:solidFill>
              <a:schemeClr val="accent5"/>
            </a:solidFill>
            <a:ln>
              <a:noFill/>
            </a:ln>
            <a:effectLst/>
          </c:spPr>
          <c:invertIfNegative val="0"/>
          <c:cat>
            <c:strRef>
              <c:f>FRECUENCIA!$B$29:$B$33</c:f>
              <c:strCache>
                <c:ptCount val="5"/>
                <c:pt idx="0">
                  <c:v>NUNCA</c:v>
                </c:pt>
                <c:pt idx="1">
                  <c:v>CASI NUNCA</c:v>
                </c:pt>
                <c:pt idx="2">
                  <c:v>ALGUNAS VECES</c:v>
                </c:pt>
                <c:pt idx="3">
                  <c:v>CASI SIEMPRE</c:v>
                </c:pt>
                <c:pt idx="4">
                  <c:v>SIEMPRE</c:v>
                </c:pt>
              </c:strCache>
            </c:strRef>
          </c:cat>
          <c:val>
            <c:numRef>
              <c:f>FRECUENCIA!$G$29:$G$33</c:f>
              <c:numCache>
                <c:formatCode>0.00</c:formatCode>
                <c:ptCount val="5"/>
                <c:pt idx="0">
                  <c:v>4.6808510638297873</c:v>
                </c:pt>
                <c:pt idx="1">
                  <c:v>24.25531914893617</c:v>
                </c:pt>
                <c:pt idx="2">
                  <c:v>69.361702127659569</c:v>
                </c:pt>
                <c:pt idx="3">
                  <c:v>89.361702127659569</c:v>
                </c:pt>
                <c:pt idx="4">
                  <c:v>98.723404255319153</c:v>
                </c:pt>
              </c:numCache>
            </c:numRef>
          </c:val>
          <c:extLst>
            <c:ext xmlns:c16="http://schemas.microsoft.com/office/drawing/2014/chart" uri="{C3380CC4-5D6E-409C-BE32-E72D297353CC}">
              <c16:uniqueId val="{00000004-BBF9-46F7-B430-132344F462EB}"/>
            </c:ext>
          </c:extLst>
        </c:ser>
        <c:dLbls>
          <c:showLegendKey val="0"/>
          <c:showVal val="0"/>
          <c:showCatName val="0"/>
          <c:showSerName val="0"/>
          <c:showPercent val="0"/>
          <c:showBubbleSize val="0"/>
        </c:dLbls>
        <c:gapWidth val="219"/>
        <c:overlap val="-27"/>
        <c:axId val="1398017216"/>
        <c:axId val="1398009056"/>
      </c:barChart>
      <c:catAx>
        <c:axId val="139801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09056"/>
        <c:crosses val="autoZero"/>
        <c:auto val="1"/>
        <c:lblAlgn val="ctr"/>
        <c:lblOffset val="100"/>
        <c:noMultiLvlLbl val="0"/>
      </c:catAx>
      <c:valAx>
        <c:axId val="139800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17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FRECUENCIA!$C$41</c:f>
              <c:strCache>
                <c:ptCount val="1"/>
                <c:pt idx="0">
                  <c:v>FRECUENCIA ABSOLUTA</c:v>
                </c:pt>
              </c:strCache>
            </c:strRef>
          </c:tx>
          <c:spPr>
            <a:solidFill>
              <a:schemeClr val="accent1"/>
            </a:solidFill>
            <a:ln>
              <a:noFill/>
            </a:ln>
            <a:effectLst/>
          </c:spPr>
          <c:invertIfNegative val="0"/>
          <c:cat>
            <c:strRef>
              <c:f>FRECUENCIA!$B$42:$B$46</c:f>
              <c:strCache>
                <c:ptCount val="5"/>
                <c:pt idx="0">
                  <c:v>NUNCA</c:v>
                </c:pt>
                <c:pt idx="1">
                  <c:v>CASI NUNCA</c:v>
                </c:pt>
                <c:pt idx="2">
                  <c:v>ALGUNAS VECES</c:v>
                </c:pt>
                <c:pt idx="3">
                  <c:v>CASI SIEMPRE</c:v>
                </c:pt>
                <c:pt idx="4">
                  <c:v>SIEMPRE</c:v>
                </c:pt>
              </c:strCache>
            </c:strRef>
          </c:cat>
          <c:val>
            <c:numRef>
              <c:f>FRECUENCIA!$C$42:$C$46</c:f>
              <c:numCache>
                <c:formatCode>General</c:formatCode>
                <c:ptCount val="5"/>
                <c:pt idx="0">
                  <c:v>30</c:v>
                </c:pt>
                <c:pt idx="1">
                  <c:v>67</c:v>
                </c:pt>
                <c:pt idx="2">
                  <c:v>89</c:v>
                </c:pt>
                <c:pt idx="3">
                  <c:v>33</c:v>
                </c:pt>
                <c:pt idx="4">
                  <c:v>16</c:v>
                </c:pt>
              </c:numCache>
            </c:numRef>
          </c:val>
          <c:extLst>
            <c:ext xmlns:c16="http://schemas.microsoft.com/office/drawing/2014/chart" uri="{C3380CC4-5D6E-409C-BE32-E72D297353CC}">
              <c16:uniqueId val="{00000000-F0D6-489B-A3DE-8F23930135C0}"/>
            </c:ext>
          </c:extLst>
        </c:ser>
        <c:ser>
          <c:idx val="1"/>
          <c:order val="1"/>
          <c:tx>
            <c:strRef>
              <c:f>FRECUENCIA!$D$41</c:f>
              <c:strCache>
                <c:ptCount val="1"/>
                <c:pt idx="0">
                  <c:v>FRECUENCIA RELATIVA</c:v>
                </c:pt>
              </c:strCache>
            </c:strRef>
          </c:tx>
          <c:spPr>
            <a:solidFill>
              <a:schemeClr val="accent2"/>
            </a:solidFill>
            <a:ln>
              <a:noFill/>
            </a:ln>
            <a:effectLst/>
          </c:spPr>
          <c:invertIfNegative val="0"/>
          <c:cat>
            <c:strRef>
              <c:f>FRECUENCIA!$B$42:$B$46</c:f>
              <c:strCache>
                <c:ptCount val="5"/>
                <c:pt idx="0">
                  <c:v>NUNCA</c:v>
                </c:pt>
                <c:pt idx="1">
                  <c:v>CASI NUNCA</c:v>
                </c:pt>
                <c:pt idx="2">
                  <c:v>ALGUNAS VECES</c:v>
                </c:pt>
                <c:pt idx="3">
                  <c:v>CASI SIEMPRE</c:v>
                </c:pt>
                <c:pt idx="4">
                  <c:v>SIEMPRE</c:v>
                </c:pt>
              </c:strCache>
            </c:strRef>
          </c:cat>
          <c:val>
            <c:numRef>
              <c:f>FRECUENCIA!$D$42:$D$46</c:f>
              <c:numCache>
                <c:formatCode>0.00</c:formatCode>
                <c:ptCount val="5"/>
                <c:pt idx="0">
                  <c:v>0.1276595744680851</c:v>
                </c:pt>
                <c:pt idx="1">
                  <c:v>0.28510638297872343</c:v>
                </c:pt>
                <c:pt idx="2">
                  <c:v>0.37872340425531914</c:v>
                </c:pt>
                <c:pt idx="3">
                  <c:v>0.14042553191489363</c:v>
                </c:pt>
                <c:pt idx="4">
                  <c:v>6.8085106382978725E-2</c:v>
                </c:pt>
              </c:numCache>
            </c:numRef>
          </c:val>
          <c:extLst>
            <c:ext xmlns:c16="http://schemas.microsoft.com/office/drawing/2014/chart" uri="{C3380CC4-5D6E-409C-BE32-E72D297353CC}">
              <c16:uniqueId val="{00000001-F0D6-489B-A3DE-8F23930135C0}"/>
            </c:ext>
          </c:extLst>
        </c:ser>
        <c:ser>
          <c:idx val="2"/>
          <c:order val="2"/>
          <c:tx>
            <c:strRef>
              <c:f>FRECUENCIA!$E$41</c:f>
              <c:strCache>
                <c:ptCount val="1"/>
                <c:pt idx="0">
                  <c:v>PORCENTAJE</c:v>
                </c:pt>
              </c:strCache>
            </c:strRef>
          </c:tx>
          <c:spPr>
            <a:solidFill>
              <a:schemeClr val="accent3"/>
            </a:solidFill>
            <a:ln>
              <a:noFill/>
            </a:ln>
            <a:effectLst/>
          </c:spPr>
          <c:invertIfNegative val="0"/>
          <c:cat>
            <c:strRef>
              <c:f>FRECUENCIA!$B$42:$B$46</c:f>
              <c:strCache>
                <c:ptCount val="5"/>
                <c:pt idx="0">
                  <c:v>NUNCA</c:v>
                </c:pt>
                <c:pt idx="1">
                  <c:v>CASI NUNCA</c:v>
                </c:pt>
                <c:pt idx="2">
                  <c:v>ALGUNAS VECES</c:v>
                </c:pt>
                <c:pt idx="3">
                  <c:v>CASI SIEMPRE</c:v>
                </c:pt>
                <c:pt idx="4">
                  <c:v>SIEMPRE</c:v>
                </c:pt>
              </c:strCache>
            </c:strRef>
          </c:cat>
          <c:val>
            <c:numRef>
              <c:f>FRECUENCIA!$E$42:$E$46</c:f>
              <c:numCache>
                <c:formatCode>0.00</c:formatCode>
                <c:ptCount val="5"/>
                <c:pt idx="0">
                  <c:v>12.76595744680851</c:v>
                </c:pt>
                <c:pt idx="1">
                  <c:v>28.510638297872344</c:v>
                </c:pt>
                <c:pt idx="2">
                  <c:v>37.872340425531917</c:v>
                </c:pt>
                <c:pt idx="3">
                  <c:v>14.042553191489363</c:v>
                </c:pt>
                <c:pt idx="4">
                  <c:v>6.8085106382978724</c:v>
                </c:pt>
              </c:numCache>
            </c:numRef>
          </c:val>
          <c:extLst>
            <c:ext xmlns:c16="http://schemas.microsoft.com/office/drawing/2014/chart" uri="{C3380CC4-5D6E-409C-BE32-E72D297353CC}">
              <c16:uniqueId val="{00000002-F0D6-489B-A3DE-8F23930135C0}"/>
            </c:ext>
          </c:extLst>
        </c:ser>
        <c:ser>
          <c:idx val="3"/>
          <c:order val="3"/>
          <c:tx>
            <c:strRef>
              <c:f>FRECUENCIA!$F$41</c:f>
              <c:strCache>
                <c:ptCount val="1"/>
                <c:pt idx="0">
                  <c:v>FA(FRECUENCIA ACUMULADA)</c:v>
                </c:pt>
              </c:strCache>
            </c:strRef>
          </c:tx>
          <c:spPr>
            <a:solidFill>
              <a:schemeClr val="accent4"/>
            </a:solidFill>
            <a:ln>
              <a:noFill/>
            </a:ln>
            <a:effectLst/>
          </c:spPr>
          <c:invertIfNegative val="0"/>
          <c:cat>
            <c:strRef>
              <c:f>FRECUENCIA!$B$42:$B$46</c:f>
              <c:strCache>
                <c:ptCount val="5"/>
                <c:pt idx="0">
                  <c:v>NUNCA</c:v>
                </c:pt>
                <c:pt idx="1">
                  <c:v>CASI NUNCA</c:v>
                </c:pt>
                <c:pt idx="2">
                  <c:v>ALGUNAS VECES</c:v>
                </c:pt>
                <c:pt idx="3">
                  <c:v>CASI SIEMPRE</c:v>
                </c:pt>
                <c:pt idx="4">
                  <c:v>SIEMPRE</c:v>
                </c:pt>
              </c:strCache>
            </c:strRef>
          </c:cat>
          <c:val>
            <c:numRef>
              <c:f>FRECUENCIA!$F$42:$F$46</c:f>
              <c:numCache>
                <c:formatCode>General</c:formatCode>
                <c:ptCount val="5"/>
                <c:pt idx="0">
                  <c:v>11</c:v>
                </c:pt>
                <c:pt idx="1">
                  <c:v>78</c:v>
                </c:pt>
                <c:pt idx="2">
                  <c:v>167</c:v>
                </c:pt>
                <c:pt idx="3">
                  <c:v>200</c:v>
                </c:pt>
                <c:pt idx="4">
                  <c:v>216</c:v>
                </c:pt>
              </c:numCache>
            </c:numRef>
          </c:val>
          <c:extLst>
            <c:ext xmlns:c16="http://schemas.microsoft.com/office/drawing/2014/chart" uri="{C3380CC4-5D6E-409C-BE32-E72D297353CC}">
              <c16:uniqueId val="{00000003-F0D6-489B-A3DE-8F23930135C0}"/>
            </c:ext>
          </c:extLst>
        </c:ser>
        <c:ser>
          <c:idx val="4"/>
          <c:order val="4"/>
          <c:tx>
            <c:strRef>
              <c:f>FRECUENCIA!$G$41</c:f>
              <c:strCache>
                <c:ptCount val="1"/>
                <c:pt idx="0">
                  <c:v>% ACUMULADO</c:v>
                </c:pt>
              </c:strCache>
            </c:strRef>
          </c:tx>
          <c:spPr>
            <a:solidFill>
              <a:schemeClr val="accent5"/>
            </a:solidFill>
            <a:ln>
              <a:noFill/>
            </a:ln>
            <a:effectLst/>
          </c:spPr>
          <c:invertIfNegative val="0"/>
          <c:cat>
            <c:strRef>
              <c:f>FRECUENCIA!$B$42:$B$46</c:f>
              <c:strCache>
                <c:ptCount val="5"/>
                <c:pt idx="0">
                  <c:v>NUNCA</c:v>
                </c:pt>
                <c:pt idx="1">
                  <c:v>CASI NUNCA</c:v>
                </c:pt>
                <c:pt idx="2">
                  <c:v>ALGUNAS VECES</c:v>
                </c:pt>
                <c:pt idx="3">
                  <c:v>CASI SIEMPRE</c:v>
                </c:pt>
                <c:pt idx="4">
                  <c:v>SIEMPRE</c:v>
                </c:pt>
              </c:strCache>
            </c:strRef>
          </c:cat>
          <c:val>
            <c:numRef>
              <c:f>FRECUENCIA!$G$42:$G$46</c:f>
              <c:numCache>
                <c:formatCode>0.00</c:formatCode>
                <c:ptCount val="5"/>
                <c:pt idx="0">
                  <c:v>4.6808510638297873</c:v>
                </c:pt>
                <c:pt idx="1">
                  <c:v>33.191489361702125</c:v>
                </c:pt>
                <c:pt idx="2">
                  <c:v>71.063829787234042</c:v>
                </c:pt>
                <c:pt idx="3">
                  <c:v>85.106382978723403</c:v>
                </c:pt>
                <c:pt idx="4">
                  <c:v>91.914893617021278</c:v>
                </c:pt>
              </c:numCache>
            </c:numRef>
          </c:val>
          <c:extLst>
            <c:ext xmlns:c16="http://schemas.microsoft.com/office/drawing/2014/chart" uri="{C3380CC4-5D6E-409C-BE32-E72D297353CC}">
              <c16:uniqueId val="{00000004-F0D6-489B-A3DE-8F23930135C0}"/>
            </c:ext>
          </c:extLst>
        </c:ser>
        <c:dLbls>
          <c:showLegendKey val="0"/>
          <c:showVal val="0"/>
          <c:showCatName val="0"/>
          <c:showSerName val="0"/>
          <c:showPercent val="0"/>
          <c:showBubbleSize val="0"/>
        </c:dLbls>
        <c:gapWidth val="219"/>
        <c:overlap val="-27"/>
        <c:axId val="1398045056"/>
        <c:axId val="1398038336"/>
      </c:barChart>
      <c:catAx>
        <c:axId val="139804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38336"/>
        <c:crosses val="autoZero"/>
        <c:auto val="1"/>
        <c:lblAlgn val="ctr"/>
        <c:lblOffset val="100"/>
        <c:noMultiLvlLbl val="0"/>
      </c:catAx>
      <c:valAx>
        <c:axId val="139803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45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FRECUENCIA!$C$53</c:f>
              <c:strCache>
                <c:ptCount val="1"/>
                <c:pt idx="0">
                  <c:v>FRECUENCIA ABSOLUTA</c:v>
                </c:pt>
              </c:strCache>
            </c:strRef>
          </c:tx>
          <c:spPr>
            <a:solidFill>
              <a:schemeClr val="accent1"/>
            </a:solidFill>
            <a:ln>
              <a:noFill/>
            </a:ln>
            <a:effectLst/>
          </c:spPr>
          <c:invertIfNegative val="0"/>
          <c:cat>
            <c:strRef>
              <c:f>FRECUENCIA!$B$54:$B$58</c:f>
              <c:strCache>
                <c:ptCount val="5"/>
                <c:pt idx="0">
                  <c:v>NUNCA</c:v>
                </c:pt>
                <c:pt idx="1">
                  <c:v>CASI NUNCA</c:v>
                </c:pt>
                <c:pt idx="2">
                  <c:v>ALGUNAS VECES</c:v>
                </c:pt>
                <c:pt idx="3">
                  <c:v>CASI SIEMPRE</c:v>
                </c:pt>
                <c:pt idx="4">
                  <c:v>SIEMPRE</c:v>
                </c:pt>
              </c:strCache>
            </c:strRef>
          </c:cat>
          <c:val>
            <c:numRef>
              <c:f>FRECUENCIA!$C$54:$C$58</c:f>
              <c:numCache>
                <c:formatCode>General</c:formatCode>
                <c:ptCount val="5"/>
                <c:pt idx="0">
                  <c:v>8</c:v>
                </c:pt>
                <c:pt idx="1">
                  <c:v>32</c:v>
                </c:pt>
                <c:pt idx="2">
                  <c:v>91</c:v>
                </c:pt>
                <c:pt idx="3">
                  <c:v>67</c:v>
                </c:pt>
                <c:pt idx="4">
                  <c:v>37</c:v>
                </c:pt>
              </c:numCache>
            </c:numRef>
          </c:val>
          <c:extLst>
            <c:ext xmlns:c16="http://schemas.microsoft.com/office/drawing/2014/chart" uri="{C3380CC4-5D6E-409C-BE32-E72D297353CC}">
              <c16:uniqueId val="{00000000-6B24-4D67-B0C2-8D14E1EF58D7}"/>
            </c:ext>
          </c:extLst>
        </c:ser>
        <c:ser>
          <c:idx val="1"/>
          <c:order val="1"/>
          <c:tx>
            <c:strRef>
              <c:f>FRECUENCIA!$D$53</c:f>
              <c:strCache>
                <c:ptCount val="1"/>
                <c:pt idx="0">
                  <c:v>FRECUENCIA RELATIVA</c:v>
                </c:pt>
              </c:strCache>
            </c:strRef>
          </c:tx>
          <c:spPr>
            <a:solidFill>
              <a:schemeClr val="accent2"/>
            </a:solidFill>
            <a:ln>
              <a:noFill/>
            </a:ln>
            <a:effectLst/>
          </c:spPr>
          <c:invertIfNegative val="0"/>
          <c:cat>
            <c:strRef>
              <c:f>FRECUENCIA!$B$54:$B$58</c:f>
              <c:strCache>
                <c:ptCount val="5"/>
                <c:pt idx="0">
                  <c:v>NUNCA</c:v>
                </c:pt>
                <c:pt idx="1">
                  <c:v>CASI NUNCA</c:v>
                </c:pt>
                <c:pt idx="2">
                  <c:v>ALGUNAS VECES</c:v>
                </c:pt>
                <c:pt idx="3">
                  <c:v>CASI SIEMPRE</c:v>
                </c:pt>
                <c:pt idx="4">
                  <c:v>SIEMPRE</c:v>
                </c:pt>
              </c:strCache>
            </c:strRef>
          </c:cat>
          <c:val>
            <c:numRef>
              <c:f>FRECUENCIA!$D$54:$D$58</c:f>
              <c:numCache>
                <c:formatCode>0.00</c:formatCode>
                <c:ptCount val="5"/>
                <c:pt idx="0">
                  <c:v>3.4042553191489362E-2</c:v>
                </c:pt>
                <c:pt idx="1">
                  <c:v>0.13617021276595745</c:v>
                </c:pt>
                <c:pt idx="2">
                  <c:v>0.38723404255319149</c:v>
                </c:pt>
                <c:pt idx="3">
                  <c:v>0.28510638297872343</c:v>
                </c:pt>
                <c:pt idx="4">
                  <c:v>0.1574468085106383</c:v>
                </c:pt>
              </c:numCache>
            </c:numRef>
          </c:val>
          <c:extLst>
            <c:ext xmlns:c16="http://schemas.microsoft.com/office/drawing/2014/chart" uri="{C3380CC4-5D6E-409C-BE32-E72D297353CC}">
              <c16:uniqueId val="{00000001-6B24-4D67-B0C2-8D14E1EF58D7}"/>
            </c:ext>
          </c:extLst>
        </c:ser>
        <c:ser>
          <c:idx val="2"/>
          <c:order val="2"/>
          <c:tx>
            <c:strRef>
              <c:f>FRECUENCIA!$E$53</c:f>
              <c:strCache>
                <c:ptCount val="1"/>
                <c:pt idx="0">
                  <c:v>PORCENTAJE</c:v>
                </c:pt>
              </c:strCache>
            </c:strRef>
          </c:tx>
          <c:spPr>
            <a:solidFill>
              <a:schemeClr val="accent3"/>
            </a:solidFill>
            <a:ln>
              <a:noFill/>
            </a:ln>
            <a:effectLst/>
          </c:spPr>
          <c:invertIfNegative val="0"/>
          <c:cat>
            <c:strRef>
              <c:f>FRECUENCIA!$B$54:$B$58</c:f>
              <c:strCache>
                <c:ptCount val="5"/>
                <c:pt idx="0">
                  <c:v>NUNCA</c:v>
                </c:pt>
                <c:pt idx="1">
                  <c:v>CASI NUNCA</c:v>
                </c:pt>
                <c:pt idx="2">
                  <c:v>ALGUNAS VECES</c:v>
                </c:pt>
                <c:pt idx="3">
                  <c:v>CASI SIEMPRE</c:v>
                </c:pt>
                <c:pt idx="4">
                  <c:v>SIEMPRE</c:v>
                </c:pt>
              </c:strCache>
            </c:strRef>
          </c:cat>
          <c:val>
            <c:numRef>
              <c:f>FRECUENCIA!$E$54:$E$58</c:f>
              <c:numCache>
                <c:formatCode>0.00</c:formatCode>
                <c:ptCount val="5"/>
                <c:pt idx="0">
                  <c:v>3.4042553191489362</c:v>
                </c:pt>
                <c:pt idx="1">
                  <c:v>13.617021276595745</c:v>
                </c:pt>
                <c:pt idx="2">
                  <c:v>38.723404255319153</c:v>
                </c:pt>
                <c:pt idx="3">
                  <c:v>28.510638297872344</c:v>
                </c:pt>
                <c:pt idx="4">
                  <c:v>15.74468085106383</c:v>
                </c:pt>
              </c:numCache>
            </c:numRef>
          </c:val>
          <c:extLst>
            <c:ext xmlns:c16="http://schemas.microsoft.com/office/drawing/2014/chart" uri="{C3380CC4-5D6E-409C-BE32-E72D297353CC}">
              <c16:uniqueId val="{00000002-6B24-4D67-B0C2-8D14E1EF58D7}"/>
            </c:ext>
          </c:extLst>
        </c:ser>
        <c:ser>
          <c:idx val="3"/>
          <c:order val="3"/>
          <c:tx>
            <c:strRef>
              <c:f>FRECUENCIA!$F$53</c:f>
              <c:strCache>
                <c:ptCount val="1"/>
                <c:pt idx="0">
                  <c:v>FA(FRECUENCIA ACUMULADA)</c:v>
                </c:pt>
              </c:strCache>
            </c:strRef>
          </c:tx>
          <c:spPr>
            <a:solidFill>
              <a:schemeClr val="accent4"/>
            </a:solidFill>
            <a:ln>
              <a:noFill/>
            </a:ln>
            <a:effectLst/>
          </c:spPr>
          <c:invertIfNegative val="0"/>
          <c:cat>
            <c:strRef>
              <c:f>FRECUENCIA!$B$54:$B$58</c:f>
              <c:strCache>
                <c:ptCount val="5"/>
                <c:pt idx="0">
                  <c:v>NUNCA</c:v>
                </c:pt>
                <c:pt idx="1">
                  <c:v>CASI NUNCA</c:v>
                </c:pt>
                <c:pt idx="2">
                  <c:v>ALGUNAS VECES</c:v>
                </c:pt>
                <c:pt idx="3">
                  <c:v>CASI SIEMPRE</c:v>
                </c:pt>
                <c:pt idx="4">
                  <c:v>SIEMPRE</c:v>
                </c:pt>
              </c:strCache>
            </c:strRef>
          </c:cat>
          <c:val>
            <c:numRef>
              <c:f>FRECUENCIA!$F$54:$F$58</c:f>
              <c:numCache>
                <c:formatCode>General</c:formatCode>
                <c:ptCount val="5"/>
                <c:pt idx="0">
                  <c:v>11</c:v>
                </c:pt>
                <c:pt idx="1">
                  <c:v>43</c:v>
                </c:pt>
                <c:pt idx="2">
                  <c:v>134</c:v>
                </c:pt>
                <c:pt idx="3">
                  <c:v>201</c:v>
                </c:pt>
                <c:pt idx="4">
                  <c:v>238</c:v>
                </c:pt>
              </c:numCache>
            </c:numRef>
          </c:val>
          <c:extLst>
            <c:ext xmlns:c16="http://schemas.microsoft.com/office/drawing/2014/chart" uri="{C3380CC4-5D6E-409C-BE32-E72D297353CC}">
              <c16:uniqueId val="{00000003-6B24-4D67-B0C2-8D14E1EF58D7}"/>
            </c:ext>
          </c:extLst>
        </c:ser>
        <c:ser>
          <c:idx val="4"/>
          <c:order val="4"/>
          <c:tx>
            <c:strRef>
              <c:f>FRECUENCIA!$G$53</c:f>
              <c:strCache>
                <c:ptCount val="1"/>
                <c:pt idx="0">
                  <c:v>% ACUMULADO</c:v>
                </c:pt>
              </c:strCache>
            </c:strRef>
          </c:tx>
          <c:spPr>
            <a:solidFill>
              <a:schemeClr val="accent5"/>
            </a:solidFill>
            <a:ln>
              <a:noFill/>
            </a:ln>
            <a:effectLst/>
          </c:spPr>
          <c:invertIfNegative val="0"/>
          <c:cat>
            <c:strRef>
              <c:f>FRECUENCIA!$B$54:$B$58</c:f>
              <c:strCache>
                <c:ptCount val="5"/>
                <c:pt idx="0">
                  <c:v>NUNCA</c:v>
                </c:pt>
                <c:pt idx="1">
                  <c:v>CASI NUNCA</c:v>
                </c:pt>
                <c:pt idx="2">
                  <c:v>ALGUNAS VECES</c:v>
                </c:pt>
                <c:pt idx="3">
                  <c:v>CASI SIEMPRE</c:v>
                </c:pt>
                <c:pt idx="4">
                  <c:v>SIEMPRE</c:v>
                </c:pt>
              </c:strCache>
            </c:strRef>
          </c:cat>
          <c:val>
            <c:numRef>
              <c:f>FRECUENCIA!$G$54:$G$58</c:f>
              <c:numCache>
                <c:formatCode>0.00</c:formatCode>
                <c:ptCount val="5"/>
                <c:pt idx="0">
                  <c:v>4.6808510638297873</c:v>
                </c:pt>
                <c:pt idx="1">
                  <c:v>18.297872340425531</c:v>
                </c:pt>
                <c:pt idx="2">
                  <c:v>57.021276595744688</c:v>
                </c:pt>
                <c:pt idx="3">
                  <c:v>85.531914893617028</c:v>
                </c:pt>
                <c:pt idx="4">
                  <c:v>101.27659574468085</c:v>
                </c:pt>
              </c:numCache>
            </c:numRef>
          </c:val>
          <c:extLst>
            <c:ext xmlns:c16="http://schemas.microsoft.com/office/drawing/2014/chart" uri="{C3380CC4-5D6E-409C-BE32-E72D297353CC}">
              <c16:uniqueId val="{00000004-6B24-4D67-B0C2-8D14E1EF58D7}"/>
            </c:ext>
          </c:extLst>
        </c:ser>
        <c:dLbls>
          <c:showLegendKey val="0"/>
          <c:showVal val="0"/>
          <c:showCatName val="0"/>
          <c:showSerName val="0"/>
          <c:showPercent val="0"/>
          <c:showBubbleSize val="0"/>
        </c:dLbls>
        <c:gapWidth val="219"/>
        <c:overlap val="-27"/>
        <c:axId val="1398044096"/>
        <c:axId val="1398046496"/>
      </c:barChart>
      <c:catAx>
        <c:axId val="139804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46496"/>
        <c:crosses val="autoZero"/>
        <c:auto val="1"/>
        <c:lblAlgn val="ctr"/>
        <c:lblOffset val="100"/>
        <c:noMultiLvlLbl val="0"/>
      </c:catAx>
      <c:valAx>
        <c:axId val="139804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44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11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FRECUENCIA!$C$67</c:f>
              <c:strCache>
                <c:ptCount val="1"/>
                <c:pt idx="0">
                  <c:v>FRECUENCIA ABSOLUTA</c:v>
                </c:pt>
              </c:strCache>
            </c:strRef>
          </c:tx>
          <c:spPr>
            <a:solidFill>
              <a:schemeClr val="accent1"/>
            </a:solidFill>
            <a:ln>
              <a:noFill/>
            </a:ln>
            <a:effectLst/>
          </c:spPr>
          <c:invertIfNegative val="0"/>
          <c:cat>
            <c:strRef>
              <c:f>FRECUENCIA!$B$68:$B$72</c:f>
              <c:strCache>
                <c:ptCount val="5"/>
                <c:pt idx="0">
                  <c:v>NUNCA</c:v>
                </c:pt>
                <c:pt idx="1">
                  <c:v>CASI NUNCA</c:v>
                </c:pt>
                <c:pt idx="2">
                  <c:v>ALGUNAS VECES</c:v>
                </c:pt>
                <c:pt idx="3">
                  <c:v>CASI SIEMPRE</c:v>
                </c:pt>
                <c:pt idx="4">
                  <c:v>SIEMPRE</c:v>
                </c:pt>
              </c:strCache>
            </c:strRef>
          </c:cat>
          <c:val>
            <c:numRef>
              <c:f>FRECUENCIA!$C$68:$C$72</c:f>
              <c:numCache>
                <c:formatCode>General</c:formatCode>
                <c:ptCount val="5"/>
                <c:pt idx="0">
                  <c:v>11</c:v>
                </c:pt>
                <c:pt idx="1">
                  <c:v>41</c:v>
                </c:pt>
                <c:pt idx="2">
                  <c:v>87</c:v>
                </c:pt>
                <c:pt idx="3">
                  <c:v>59</c:v>
                </c:pt>
                <c:pt idx="4">
                  <c:v>37</c:v>
                </c:pt>
              </c:numCache>
            </c:numRef>
          </c:val>
          <c:extLst>
            <c:ext xmlns:c16="http://schemas.microsoft.com/office/drawing/2014/chart" uri="{C3380CC4-5D6E-409C-BE32-E72D297353CC}">
              <c16:uniqueId val="{00000000-74A0-4EAC-BF0C-2B478C9F3AA2}"/>
            </c:ext>
          </c:extLst>
        </c:ser>
        <c:ser>
          <c:idx val="1"/>
          <c:order val="1"/>
          <c:tx>
            <c:strRef>
              <c:f>FRECUENCIA!$D$67</c:f>
              <c:strCache>
                <c:ptCount val="1"/>
                <c:pt idx="0">
                  <c:v>FRECUENCIA RELATIVA</c:v>
                </c:pt>
              </c:strCache>
            </c:strRef>
          </c:tx>
          <c:spPr>
            <a:solidFill>
              <a:schemeClr val="accent2"/>
            </a:solidFill>
            <a:ln>
              <a:noFill/>
            </a:ln>
            <a:effectLst/>
          </c:spPr>
          <c:invertIfNegative val="0"/>
          <c:cat>
            <c:strRef>
              <c:f>FRECUENCIA!$B$68:$B$72</c:f>
              <c:strCache>
                <c:ptCount val="5"/>
                <c:pt idx="0">
                  <c:v>NUNCA</c:v>
                </c:pt>
                <c:pt idx="1">
                  <c:v>CASI NUNCA</c:v>
                </c:pt>
                <c:pt idx="2">
                  <c:v>ALGUNAS VECES</c:v>
                </c:pt>
                <c:pt idx="3">
                  <c:v>CASI SIEMPRE</c:v>
                </c:pt>
                <c:pt idx="4">
                  <c:v>SIEMPRE</c:v>
                </c:pt>
              </c:strCache>
            </c:strRef>
          </c:cat>
          <c:val>
            <c:numRef>
              <c:f>FRECUENCIA!$D$68:$D$72</c:f>
              <c:numCache>
                <c:formatCode>0.00</c:formatCode>
                <c:ptCount val="5"/>
                <c:pt idx="0">
                  <c:v>4.6808510638297871E-2</c:v>
                </c:pt>
                <c:pt idx="1">
                  <c:v>0.17446808510638298</c:v>
                </c:pt>
                <c:pt idx="2">
                  <c:v>0.37021276595744679</c:v>
                </c:pt>
                <c:pt idx="3">
                  <c:v>0.25106382978723402</c:v>
                </c:pt>
                <c:pt idx="4">
                  <c:v>0.1574468085106383</c:v>
                </c:pt>
              </c:numCache>
            </c:numRef>
          </c:val>
          <c:extLst>
            <c:ext xmlns:c16="http://schemas.microsoft.com/office/drawing/2014/chart" uri="{C3380CC4-5D6E-409C-BE32-E72D297353CC}">
              <c16:uniqueId val="{00000001-74A0-4EAC-BF0C-2B478C9F3AA2}"/>
            </c:ext>
          </c:extLst>
        </c:ser>
        <c:ser>
          <c:idx val="2"/>
          <c:order val="2"/>
          <c:tx>
            <c:strRef>
              <c:f>FRECUENCIA!$E$67</c:f>
              <c:strCache>
                <c:ptCount val="1"/>
                <c:pt idx="0">
                  <c:v>PORCENTAJE</c:v>
                </c:pt>
              </c:strCache>
            </c:strRef>
          </c:tx>
          <c:spPr>
            <a:solidFill>
              <a:schemeClr val="accent3"/>
            </a:solidFill>
            <a:ln>
              <a:noFill/>
            </a:ln>
            <a:effectLst/>
          </c:spPr>
          <c:invertIfNegative val="0"/>
          <c:cat>
            <c:strRef>
              <c:f>FRECUENCIA!$B$68:$B$72</c:f>
              <c:strCache>
                <c:ptCount val="5"/>
                <c:pt idx="0">
                  <c:v>NUNCA</c:v>
                </c:pt>
                <c:pt idx="1">
                  <c:v>CASI NUNCA</c:v>
                </c:pt>
                <c:pt idx="2">
                  <c:v>ALGUNAS VECES</c:v>
                </c:pt>
                <c:pt idx="3">
                  <c:v>CASI SIEMPRE</c:v>
                </c:pt>
                <c:pt idx="4">
                  <c:v>SIEMPRE</c:v>
                </c:pt>
              </c:strCache>
            </c:strRef>
          </c:cat>
          <c:val>
            <c:numRef>
              <c:f>FRECUENCIA!$E$68:$E$72</c:f>
              <c:numCache>
                <c:formatCode>0.00</c:formatCode>
                <c:ptCount val="5"/>
                <c:pt idx="0">
                  <c:v>4.6808510638297873</c:v>
                </c:pt>
                <c:pt idx="1">
                  <c:v>17.446808510638299</c:v>
                </c:pt>
                <c:pt idx="2">
                  <c:v>37.021276595744681</c:v>
                </c:pt>
                <c:pt idx="3">
                  <c:v>25.106382978723403</c:v>
                </c:pt>
                <c:pt idx="4">
                  <c:v>15.74468085106383</c:v>
                </c:pt>
              </c:numCache>
            </c:numRef>
          </c:val>
          <c:extLst>
            <c:ext xmlns:c16="http://schemas.microsoft.com/office/drawing/2014/chart" uri="{C3380CC4-5D6E-409C-BE32-E72D297353CC}">
              <c16:uniqueId val="{00000002-74A0-4EAC-BF0C-2B478C9F3AA2}"/>
            </c:ext>
          </c:extLst>
        </c:ser>
        <c:ser>
          <c:idx val="3"/>
          <c:order val="3"/>
          <c:tx>
            <c:strRef>
              <c:f>FRECUENCIA!$F$67</c:f>
              <c:strCache>
                <c:ptCount val="1"/>
                <c:pt idx="0">
                  <c:v>FA(FRECUENCIA ACUMULADA)</c:v>
                </c:pt>
              </c:strCache>
            </c:strRef>
          </c:tx>
          <c:spPr>
            <a:solidFill>
              <a:schemeClr val="accent4"/>
            </a:solidFill>
            <a:ln>
              <a:noFill/>
            </a:ln>
            <a:effectLst/>
          </c:spPr>
          <c:invertIfNegative val="0"/>
          <c:cat>
            <c:strRef>
              <c:f>FRECUENCIA!$B$68:$B$72</c:f>
              <c:strCache>
                <c:ptCount val="5"/>
                <c:pt idx="0">
                  <c:v>NUNCA</c:v>
                </c:pt>
                <c:pt idx="1">
                  <c:v>CASI NUNCA</c:v>
                </c:pt>
                <c:pt idx="2">
                  <c:v>ALGUNAS VECES</c:v>
                </c:pt>
                <c:pt idx="3">
                  <c:v>CASI SIEMPRE</c:v>
                </c:pt>
                <c:pt idx="4">
                  <c:v>SIEMPRE</c:v>
                </c:pt>
              </c:strCache>
            </c:strRef>
          </c:cat>
          <c:val>
            <c:numRef>
              <c:f>FRECUENCIA!$F$68:$F$72</c:f>
              <c:numCache>
                <c:formatCode>General</c:formatCode>
                <c:ptCount val="5"/>
                <c:pt idx="0">
                  <c:v>11</c:v>
                </c:pt>
                <c:pt idx="1">
                  <c:v>52</c:v>
                </c:pt>
                <c:pt idx="2">
                  <c:v>139</c:v>
                </c:pt>
                <c:pt idx="3">
                  <c:v>198</c:v>
                </c:pt>
                <c:pt idx="4">
                  <c:v>235</c:v>
                </c:pt>
              </c:numCache>
            </c:numRef>
          </c:val>
          <c:extLst>
            <c:ext xmlns:c16="http://schemas.microsoft.com/office/drawing/2014/chart" uri="{C3380CC4-5D6E-409C-BE32-E72D297353CC}">
              <c16:uniqueId val="{00000003-74A0-4EAC-BF0C-2B478C9F3AA2}"/>
            </c:ext>
          </c:extLst>
        </c:ser>
        <c:ser>
          <c:idx val="4"/>
          <c:order val="4"/>
          <c:tx>
            <c:strRef>
              <c:f>FRECUENCIA!$G$67</c:f>
              <c:strCache>
                <c:ptCount val="1"/>
                <c:pt idx="0">
                  <c:v>% ACUMULADO</c:v>
                </c:pt>
              </c:strCache>
            </c:strRef>
          </c:tx>
          <c:spPr>
            <a:solidFill>
              <a:schemeClr val="accent5"/>
            </a:solidFill>
            <a:ln>
              <a:noFill/>
            </a:ln>
            <a:effectLst/>
          </c:spPr>
          <c:invertIfNegative val="0"/>
          <c:cat>
            <c:strRef>
              <c:f>FRECUENCIA!$B$68:$B$72</c:f>
              <c:strCache>
                <c:ptCount val="5"/>
                <c:pt idx="0">
                  <c:v>NUNCA</c:v>
                </c:pt>
                <c:pt idx="1">
                  <c:v>CASI NUNCA</c:v>
                </c:pt>
                <c:pt idx="2">
                  <c:v>ALGUNAS VECES</c:v>
                </c:pt>
                <c:pt idx="3">
                  <c:v>CASI SIEMPRE</c:v>
                </c:pt>
                <c:pt idx="4">
                  <c:v>SIEMPRE</c:v>
                </c:pt>
              </c:strCache>
            </c:strRef>
          </c:cat>
          <c:val>
            <c:numRef>
              <c:f>FRECUENCIA!$G$68:$G$72</c:f>
              <c:numCache>
                <c:formatCode>0.00</c:formatCode>
                <c:ptCount val="5"/>
                <c:pt idx="0">
                  <c:v>4.6808510638297873</c:v>
                </c:pt>
                <c:pt idx="1">
                  <c:v>22.127659574468083</c:v>
                </c:pt>
                <c:pt idx="2">
                  <c:v>59.148936170212764</c:v>
                </c:pt>
                <c:pt idx="3">
                  <c:v>84.255319148936167</c:v>
                </c:pt>
                <c:pt idx="4">
                  <c:v>100</c:v>
                </c:pt>
              </c:numCache>
            </c:numRef>
          </c:val>
          <c:extLst>
            <c:ext xmlns:c16="http://schemas.microsoft.com/office/drawing/2014/chart" uri="{C3380CC4-5D6E-409C-BE32-E72D297353CC}">
              <c16:uniqueId val="{00000004-74A0-4EAC-BF0C-2B478C9F3AA2}"/>
            </c:ext>
          </c:extLst>
        </c:ser>
        <c:dLbls>
          <c:showLegendKey val="0"/>
          <c:showVal val="0"/>
          <c:showCatName val="0"/>
          <c:showSerName val="0"/>
          <c:showPercent val="0"/>
          <c:showBubbleSize val="0"/>
        </c:dLbls>
        <c:gapWidth val="219"/>
        <c:overlap val="-27"/>
        <c:axId val="1398004736"/>
        <c:axId val="1398007616"/>
      </c:barChart>
      <c:catAx>
        <c:axId val="139800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07616"/>
        <c:crosses val="autoZero"/>
        <c:auto val="1"/>
        <c:lblAlgn val="ctr"/>
        <c:lblOffset val="100"/>
        <c:noMultiLvlLbl val="0"/>
      </c:catAx>
      <c:valAx>
        <c:axId val="139800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0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FRECUENCIA!$C$78</c:f>
              <c:strCache>
                <c:ptCount val="1"/>
                <c:pt idx="0">
                  <c:v>FRECUENCIA ABSOLUTA</c:v>
                </c:pt>
              </c:strCache>
            </c:strRef>
          </c:tx>
          <c:spPr>
            <a:solidFill>
              <a:schemeClr val="accent1"/>
            </a:solidFill>
            <a:ln>
              <a:noFill/>
            </a:ln>
            <a:effectLst/>
          </c:spPr>
          <c:invertIfNegative val="0"/>
          <c:cat>
            <c:strRef>
              <c:f>FRECUENCIA!$B$79:$B$83</c:f>
              <c:strCache>
                <c:ptCount val="5"/>
                <c:pt idx="0">
                  <c:v>NUNCA</c:v>
                </c:pt>
                <c:pt idx="1">
                  <c:v>CASI NUNCA</c:v>
                </c:pt>
                <c:pt idx="2">
                  <c:v>ALGUNAS VECES</c:v>
                </c:pt>
                <c:pt idx="3">
                  <c:v>CASI SIEMPRE</c:v>
                </c:pt>
                <c:pt idx="4">
                  <c:v>SIEMPRE</c:v>
                </c:pt>
              </c:strCache>
            </c:strRef>
          </c:cat>
          <c:val>
            <c:numRef>
              <c:f>FRECUENCIA!$C$79:$C$83</c:f>
              <c:numCache>
                <c:formatCode>General</c:formatCode>
                <c:ptCount val="5"/>
                <c:pt idx="0">
                  <c:v>8</c:v>
                </c:pt>
                <c:pt idx="1">
                  <c:v>52</c:v>
                </c:pt>
                <c:pt idx="2">
                  <c:v>94</c:v>
                </c:pt>
                <c:pt idx="3">
                  <c:v>65</c:v>
                </c:pt>
                <c:pt idx="4">
                  <c:v>16</c:v>
                </c:pt>
              </c:numCache>
            </c:numRef>
          </c:val>
          <c:extLst>
            <c:ext xmlns:c16="http://schemas.microsoft.com/office/drawing/2014/chart" uri="{C3380CC4-5D6E-409C-BE32-E72D297353CC}">
              <c16:uniqueId val="{00000000-5DDA-47AB-B3EF-7246E1428288}"/>
            </c:ext>
          </c:extLst>
        </c:ser>
        <c:ser>
          <c:idx val="1"/>
          <c:order val="1"/>
          <c:tx>
            <c:strRef>
              <c:f>FRECUENCIA!$D$78</c:f>
              <c:strCache>
                <c:ptCount val="1"/>
                <c:pt idx="0">
                  <c:v>FRECUENCIA RELATIVA</c:v>
                </c:pt>
              </c:strCache>
            </c:strRef>
          </c:tx>
          <c:spPr>
            <a:solidFill>
              <a:schemeClr val="accent2"/>
            </a:solidFill>
            <a:ln>
              <a:noFill/>
            </a:ln>
            <a:effectLst/>
          </c:spPr>
          <c:invertIfNegative val="0"/>
          <c:cat>
            <c:strRef>
              <c:f>FRECUENCIA!$B$79:$B$83</c:f>
              <c:strCache>
                <c:ptCount val="5"/>
                <c:pt idx="0">
                  <c:v>NUNCA</c:v>
                </c:pt>
                <c:pt idx="1">
                  <c:v>CASI NUNCA</c:v>
                </c:pt>
                <c:pt idx="2">
                  <c:v>ALGUNAS VECES</c:v>
                </c:pt>
                <c:pt idx="3">
                  <c:v>CASI SIEMPRE</c:v>
                </c:pt>
                <c:pt idx="4">
                  <c:v>SIEMPRE</c:v>
                </c:pt>
              </c:strCache>
            </c:strRef>
          </c:cat>
          <c:val>
            <c:numRef>
              <c:f>FRECUENCIA!$D$79:$D$83</c:f>
              <c:numCache>
                <c:formatCode>0.00</c:formatCode>
                <c:ptCount val="5"/>
                <c:pt idx="0">
                  <c:v>3.4042553191489362E-2</c:v>
                </c:pt>
                <c:pt idx="1">
                  <c:v>0.22127659574468084</c:v>
                </c:pt>
                <c:pt idx="2">
                  <c:v>0.4</c:v>
                </c:pt>
                <c:pt idx="3">
                  <c:v>0.27659574468085107</c:v>
                </c:pt>
                <c:pt idx="4">
                  <c:v>6.8085106382978725E-2</c:v>
                </c:pt>
              </c:numCache>
            </c:numRef>
          </c:val>
          <c:extLst>
            <c:ext xmlns:c16="http://schemas.microsoft.com/office/drawing/2014/chart" uri="{C3380CC4-5D6E-409C-BE32-E72D297353CC}">
              <c16:uniqueId val="{00000001-5DDA-47AB-B3EF-7246E1428288}"/>
            </c:ext>
          </c:extLst>
        </c:ser>
        <c:ser>
          <c:idx val="2"/>
          <c:order val="2"/>
          <c:tx>
            <c:strRef>
              <c:f>FRECUENCIA!$E$78</c:f>
              <c:strCache>
                <c:ptCount val="1"/>
                <c:pt idx="0">
                  <c:v>PORCENTAJE</c:v>
                </c:pt>
              </c:strCache>
            </c:strRef>
          </c:tx>
          <c:spPr>
            <a:solidFill>
              <a:schemeClr val="accent3"/>
            </a:solidFill>
            <a:ln>
              <a:noFill/>
            </a:ln>
            <a:effectLst/>
          </c:spPr>
          <c:invertIfNegative val="0"/>
          <c:cat>
            <c:strRef>
              <c:f>FRECUENCIA!$B$79:$B$83</c:f>
              <c:strCache>
                <c:ptCount val="5"/>
                <c:pt idx="0">
                  <c:v>NUNCA</c:v>
                </c:pt>
                <c:pt idx="1">
                  <c:v>CASI NUNCA</c:v>
                </c:pt>
                <c:pt idx="2">
                  <c:v>ALGUNAS VECES</c:v>
                </c:pt>
                <c:pt idx="3">
                  <c:v>CASI SIEMPRE</c:v>
                </c:pt>
                <c:pt idx="4">
                  <c:v>SIEMPRE</c:v>
                </c:pt>
              </c:strCache>
            </c:strRef>
          </c:cat>
          <c:val>
            <c:numRef>
              <c:f>FRECUENCIA!$E$79:$E$83</c:f>
              <c:numCache>
                <c:formatCode>0.00</c:formatCode>
                <c:ptCount val="5"/>
                <c:pt idx="0">
                  <c:v>3.4042553191489362</c:v>
                </c:pt>
                <c:pt idx="1">
                  <c:v>22.127659574468083</c:v>
                </c:pt>
                <c:pt idx="2">
                  <c:v>40</c:v>
                </c:pt>
                <c:pt idx="3">
                  <c:v>27.659574468085108</c:v>
                </c:pt>
                <c:pt idx="4">
                  <c:v>6.8085106382978724</c:v>
                </c:pt>
              </c:numCache>
            </c:numRef>
          </c:val>
          <c:extLst>
            <c:ext xmlns:c16="http://schemas.microsoft.com/office/drawing/2014/chart" uri="{C3380CC4-5D6E-409C-BE32-E72D297353CC}">
              <c16:uniqueId val="{00000002-5DDA-47AB-B3EF-7246E1428288}"/>
            </c:ext>
          </c:extLst>
        </c:ser>
        <c:ser>
          <c:idx val="3"/>
          <c:order val="3"/>
          <c:tx>
            <c:strRef>
              <c:f>FRECUENCIA!$F$78</c:f>
              <c:strCache>
                <c:ptCount val="1"/>
                <c:pt idx="0">
                  <c:v>FA(FRECUENCIA ACUMULADA)</c:v>
                </c:pt>
              </c:strCache>
            </c:strRef>
          </c:tx>
          <c:spPr>
            <a:solidFill>
              <a:schemeClr val="accent4"/>
            </a:solidFill>
            <a:ln>
              <a:noFill/>
            </a:ln>
            <a:effectLst/>
          </c:spPr>
          <c:invertIfNegative val="0"/>
          <c:cat>
            <c:strRef>
              <c:f>FRECUENCIA!$B$79:$B$83</c:f>
              <c:strCache>
                <c:ptCount val="5"/>
                <c:pt idx="0">
                  <c:v>NUNCA</c:v>
                </c:pt>
                <c:pt idx="1">
                  <c:v>CASI NUNCA</c:v>
                </c:pt>
                <c:pt idx="2">
                  <c:v>ALGUNAS VECES</c:v>
                </c:pt>
                <c:pt idx="3">
                  <c:v>CASI SIEMPRE</c:v>
                </c:pt>
                <c:pt idx="4">
                  <c:v>SIEMPRE</c:v>
                </c:pt>
              </c:strCache>
            </c:strRef>
          </c:cat>
          <c:val>
            <c:numRef>
              <c:f>FRECUENCIA!$F$79:$F$83</c:f>
              <c:numCache>
                <c:formatCode>General</c:formatCode>
                <c:ptCount val="5"/>
                <c:pt idx="0">
                  <c:v>11</c:v>
                </c:pt>
                <c:pt idx="1">
                  <c:v>63</c:v>
                </c:pt>
                <c:pt idx="2">
                  <c:v>157</c:v>
                </c:pt>
                <c:pt idx="3">
                  <c:v>222</c:v>
                </c:pt>
                <c:pt idx="4">
                  <c:v>238</c:v>
                </c:pt>
              </c:numCache>
            </c:numRef>
          </c:val>
          <c:extLst>
            <c:ext xmlns:c16="http://schemas.microsoft.com/office/drawing/2014/chart" uri="{C3380CC4-5D6E-409C-BE32-E72D297353CC}">
              <c16:uniqueId val="{00000003-5DDA-47AB-B3EF-7246E1428288}"/>
            </c:ext>
          </c:extLst>
        </c:ser>
        <c:ser>
          <c:idx val="4"/>
          <c:order val="4"/>
          <c:tx>
            <c:strRef>
              <c:f>FRECUENCIA!$G$78</c:f>
              <c:strCache>
                <c:ptCount val="1"/>
                <c:pt idx="0">
                  <c:v>% ACUMULADO</c:v>
                </c:pt>
              </c:strCache>
            </c:strRef>
          </c:tx>
          <c:spPr>
            <a:solidFill>
              <a:schemeClr val="accent5"/>
            </a:solidFill>
            <a:ln>
              <a:noFill/>
            </a:ln>
            <a:effectLst/>
          </c:spPr>
          <c:invertIfNegative val="0"/>
          <c:cat>
            <c:strRef>
              <c:f>FRECUENCIA!$B$79:$B$83</c:f>
              <c:strCache>
                <c:ptCount val="5"/>
                <c:pt idx="0">
                  <c:v>NUNCA</c:v>
                </c:pt>
                <c:pt idx="1">
                  <c:v>CASI NUNCA</c:v>
                </c:pt>
                <c:pt idx="2">
                  <c:v>ALGUNAS VECES</c:v>
                </c:pt>
                <c:pt idx="3">
                  <c:v>CASI SIEMPRE</c:v>
                </c:pt>
                <c:pt idx="4">
                  <c:v>SIEMPRE</c:v>
                </c:pt>
              </c:strCache>
            </c:strRef>
          </c:cat>
          <c:val>
            <c:numRef>
              <c:f>FRECUENCIA!$G$79:$G$83</c:f>
              <c:numCache>
                <c:formatCode>0.00</c:formatCode>
                <c:ptCount val="5"/>
                <c:pt idx="0">
                  <c:v>4.6808510638297873</c:v>
                </c:pt>
                <c:pt idx="1">
                  <c:v>26.808510638297872</c:v>
                </c:pt>
                <c:pt idx="2">
                  <c:v>66.808510638297875</c:v>
                </c:pt>
                <c:pt idx="3">
                  <c:v>94.468085106382986</c:v>
                </c:pt>
                <c:pt idx="4">
                  <c:v>101.27659574468085</c:v>
                </c:pt>
              </c:numCache>
            </c:numRef>
          </c:val>
          <c:extLst>
            <c:ext xmlns:c16="http://schemas.microsoft.com/office/drawing/2014/chart" uri="{C3380CC4-5D6E-409C-BE32-E72D297353CC}">
              <c16:uniqueId val="{00000004-5DDA-47AB-B3EF-7246E1428288}"/>
            </c:ext>
          </c:extLst>
        </c:ser>
        <c:dLbls>
          <c:showLegendKey val="0"/>
          <c:showVal val="0"/>
          <c:showCatName val="0"/>
          <c:showSerName val="0"/>
          <c:showPercent val="0"/>
          <c:showBubbleSize val="0"/>
        </c:dLbls>
        <c:gapWidth val="219"/>
        <c:overlap val="-27"/>
        <c:axId val="1398043616"/>
        <c:axId val="1398039776"/>
      </c:barChart>
      <c:catAx>
        <c:axId val="139804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39776"/>
        <c:crosses val="autoZero"/>
        <c:auto val="1"/>
        <c:lblAlgn val="ctr"/>
        <c:lblOffset val="100"/>
        <c:noMultiLvlLbl val="0"/>
      </c:catAx>
      <c:valAx>
        <c:axId val="139803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4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FRECUENCIA!$C$89</c:f>
              <c:strCache>
                <c:ptCount val="1"/>
                <c:pt idx="0">
                  <c:v>FRECUENCIA ABSOLUTA</c:v>
                </c:pt>
              </c:strCache>
            </c:strRef>
          </c:tx>
          <c:spPr>
            <a:solidFill>
              <a:schemeClr val="accent1"/>
            </a:solidFill>
            <a:ln>
              <a:noFill/>
            </a:ln>
            <a:effectLst/>
          </c:spPr>
          <c:invertIfNegative val="0"/>
          <c:cat>
            <c:strRef>
              <c:f>FRECUENCIA!$B$90:$B$94</c:f>
              <c:strCache>
                <c:ptCount val="5"/>
                <c:pt idx="0">
                  <c:v>NUNCA</c:v>
                </c:pt>
                <c:pt idx="1">
                  <c:v>CASI NUNCA</c:v>
                </c:pt>
                <c:pt idx="2">
                  <c:v>ALGUNAS VECES</c:v>
                </c:pt>
                <c:pt idx="3">
                  <c:v>CASI SIEMPRE</c:v>
                </c:pt>
                <c:pt idx="4">
                  <c:v>SIEMPRE</c:v>
                </c:pt>
              </c:strCache>
            </c:strRef>
          </c:cat>
          <c:val>
            <c:numRef>
              <c:f>FRECUENCIA!$C$90:$C$94</c:f>
              <c:numCache>
                <c:formatCode>General</c:formatCode>
                <c:ptCount val="5"/>
                <c:pt idx="0">
                  <c:v>20</c:v>
                </c:pt>
                <c:pt idx="1">
                  <c:v>38</c:v>
                </c:pt>
                <c:pt idx="2">
                  <c:v>73</c:v>
                </c:pt>
                <c:pt idx="3">
                  <c:v>67</c:v>
                </c:pt>
                <c:pt idx="4">
                  <c:v>37</c:v>
                </c:pt>
              </c:numCache>
            </c:numRef>
          </c:val>
          <c:extLst>
            <c:ext xmlns:c16="http://schemas.microsoft.com/office/drawing/2014/chart" uri="{C3380CC4-5D6E-409C-BE32-E72D297353CC}">
              <c16:uniqueId val="{00000000-6931-4835-9B9F-8EC6EA5E3285}"/>
            </c:ext>
          </c:extLst>
        </c:ser>
        <c:ser>
          <c:idx val="1"/>
          <c:order val="1"/>
          <c:tx>
            <c:strRef>
              <c:f>FRECUENCIA!$D$89</c:f>
              <c:strCache>
                <c:ptCount val="1"/>
                <c:pt idx="0">
                  <c:v>FRECUENCIA RELATIVA</c:v>
                </c:pt>
              </c:strCache>
            </c:strRef>
          </c:tx>
          <c:spPr>
            <a:solidFill>
              <a:schemeClr val="accent2"/>
            </a:solidFill>
            <a:ln>
              <a:noFill/>
            </a:ln>
            <a:effectLst/>
          </c:spPr>
          <c:invertIfNegative val="0"/>
          <c:cat>
            <c:strRef>
              <c:f>FRECUENCIA!$B$90:$B$94</c:f>
              <c:strCache>
                <c:ptCount val="5"/>
                <c:pt idx="0">
                  <c:v>NUNCA</c:v>
                </c:pt>
                <c:pt idx="1">
                  <c:v>CASI NUNCA</c:v>
                </c:pt>
                <c:pt idx="2">
                  <c:v>ALGUNAS VECES</c:v>
                </c:pt>
                <c:pt idx="3">
                  <c:v>CASI SIEMPRE</c:v>
                </c:pt>
                <c:pt idx="4">
                  <c:v>SIEMPRE</c:v>
                </c:pt>
              </c:strCache>
            </c:strRef>
          </c:cat>
          <c:val>
            <c:numRef>
              <c:f>FRECUENCIA!$D$90:$D$94</c:f>
              <c:numCache>
                <c:formatCode>0.00</c:formatCode>
                <c:ptCount val="5"/>
                <c:pt idx="0">
                  <c:v>8.5106382978723402E-2</c:v>
                </c:pt>
                <c:pt idx="1">
                  <c:v>0.16170212765957448</c:v>
                </c:pt>
                <c:pt idx="2">
                  <c:v>0.31063829787234043</c:v>
                </c:pt>
                <c:pt idx="3">
                  <c:v>0.28510638297872343</c:v>
                </c:pt>
                <c:pt idx="4">
                  <c:v>0.1574468085106383</c:v>
                </c:pt>
              </c:numCache>
            </c:numRef>
          </c:val>
          <c:extLst>
            <c:ext xmlns:c16="http://schemas.microsoft.com/office/drawing/2014/chart" uri="{C3380CC4-5D6E-409C-BE32-E72D297353CC}">
              <c16:uniqueId val="{00000001-6931-4835-9B9F-8EC6EA5E3285}"/>
            </c:ext>
          </c:extLst>
        </c:ser>
        <c:ser>
          <c:idx val="2"/>
          <c:order val="2"/>
          <c:tx>
            <c:strRef>
              <c:f>FRECUENCIA!$E$89</c:f>
              <c:strCache>
                <c:ptCount val="1"/>
                <c:pt idx="0">
                  <c:v>PORCENTAJE</c:v>
                </c:pt>
              </c:strCache>
            </c:strRef>
          </c:tx>
          <c:spPr>
            <a:solidFill>
              <a:schemeClr val="accent3"/>
            </a:solidFill>
            <a:ln>
              <a:noFill/>
            </a:ln>
            <a:effectLst/>
          </c:spPr>
          <c:invertIfNegative val="0"/>
          <c:cat>
            <c:strRef>
              <c:f>FRECUENCIA!$B$90:$B$94</c:f>
              <c:strCache>
                <c:ptCount val="5"/>
                <c:pt idx="0">
                  <c:v>NUNCA</c:v>
                </c:pt>
                <c:pt idx="1">
                  <c:v>CASI NUNCA</c:v>
                </c:pt>
                <c:pt idx="2">
                  <c:v>ALGUNAS VECES</c:v>
                </c:pt>
                <c:pt idx="3">
                  <c:v>CASI SIEMPRE</c:v>
                </c:pt>
                <c:pt idx="4">
                  <c:v>SIEMPRE</c:v>
                </c:pt>
              </c:strCache>
            </c:strRef>
          </c:cat>
          <c:val>
            <c:numRef>
              <c:f>FRECUENCIA!$E$90:$E$94</c:f>
              <c:numCache>
                <c:formatCode>0.00</c:formatCode>
                <c:ptCount val="5"/>
                <c:pt idx="0">
                  <c:v>8.5106382978723403</c:v>
                </c:pt>
                <c:pt idx="1">
                  <c:v>16.170212765957448</c:v>
                </c:pt>
                <c:pt idx="2">
                  <c:v>31.063829787234042</c:v>
                </c:pt>
                <c:pt idx="3">
                  <c:v>28.510638297872344</c:v>
                </c:pt>
                <c:pt idx="4">
                  <c:v>15.74468085106383</c:v>
                </c:pt>
              </c:numCache>
            </c:numRef>
          </c:val>
          <c:extLst>
            <c:ext xmlns:c16="http://schemas.microsoft.com/office/drawing/2014/chart" uri="{C3380CC4-5D6E-409C-BE32-E72D297353CC}">
              <c16:uniqueId val="{00000002-6931-4835-9B9F-8EC6EA5E3285}"/>
            </c:ext>
          </c:extLst>
        </c:ser>
        <c:ser>
          <c:idx val="3"/>
          <c:order val="3"/>
          <c:tx>
            <c:strRef>
              <c:f>FRECUENCIA!$F$89</c:f>
              <c:strCache>
                <c:ptCount val="1"/>
                <c:pt idx="0">
                  <c:v>FA(FRECUENCIA ACUMULADA)</c:v>
                </c:pt>
              </c:strCache>
            </c:strRef>
          </c:tx>
          <c:spPr>
            <a:solidFill>
              <a:schemeClr val="accent4"/>
            </a:solidFill>
            <a:ln>
              <a:noFill/>
            </a:ln>
            <a:effectLst/>
          </c:spPr>
          <c:invertIfNegative val="0"/>
          <c:cat>
            <c:strRef>
              <c:f>FRECUENCIA!$B$90:$B$94</c:f>
              <c:strCache>
                <c:ptCount val="5"/>
                <c:pt idx="0">
                  <c:v>NUNCA</c:v>
                </c:pt>
                <c:pt idx="1">
                  <c:v>CASI NUNCA</c:v>
                </c:pt>
                <c:pt idx="2">
                  <c:v>ALGUNAS VECES</c:v>
                </c:pt>
                <c:pt idx="3">
                  <c:v>CASI SIEMPRE</c:v>
                </c:pt>
                <c:pt idx="4">
                  <c:v>SIEMPRE</c:v>
                </c:pt>
              </c:strCache>
            </c:strRef>
          </c:cat>
          <c:val>
            <c:numRef>
              <c:f>FRECUENCIA!$F$90:$F$94</c:f>
              <c:numCache>
                <c:formatCode>General</c:formatCode>
                <c:ptCount val="5"/>
                <c:pt idx="0">
                  <c:v>11</c:v>
                </c:pt>
                <c:pt idx="1">
                  <c:v>49</c:v>
                </c:pt>
                <c:pt idx="2">
                  <c:v>122</c:v>
                </c:pt>
                <c:pt idx="3">
                  <c:v>189</c:v>
                </c:pt>
                <c:pt idx="4">
                  <c:v>226</c:v>
                </c:pt>
              </c:numCache>
            </c:numRef>
          </c:val>
          <c:extLst>
            <c:ext xmlns:c16="http://schemas.microsoft.com/office/drawing/2014/chart" uri="{C3380CC4-5D6E-409C-BE32-E72D297353CC}">
              <c16:uniqueId val="{00000003-6931-4835-9B9F-8EC6EA5E3285}"/>
            </c:ext>
          </c:extLst>
        </c:ser>
        <c:ser>
          <c:idx val="4"/>
          <c:order val="4"/>
          <c:tx>
            <c:strRef>
              <c:f>FRECUENCIA!$G$89</c:f>
              <c:strCache>
                <c:ptCount val="1"/>
                <c:pt idx="0">
                  <c:v>% ACUMULADO</c:v>
                </c:pt>
              </c:strCache>
            </c:strRef>
          </c:tx>
          <c:spPr>
            <a:solidFill>
              <a:schemeClr val="accent5"/>
            </a:solidFill>
            <a:ln>
              <a:noFill/>
            </a:ln>
            <a:effectLst/>
          </c:spPr>
          <c:invertIfNegative val="0"/>
          <c:cat>
            <c:strRef>
              <c:f>FRECUENCIA!$B$90:$B$94</c:f>
              <c:strCache>
                <c:ptCount val="5"/>
                <c:pt idx="0">
                  <c:v>NUNCA</c:v>
                </c:pt>
                <c:pt idx="1">
                  <c:v>CASI NUNCA</c:v>
                </c:pt>
                <c:pt idx="2">
                  <c:v>ALGUNAS VECES</c:v>
                </c:pt>
                <c:pt idx="3">
                  <c:v>CASI SIEMPRE</c:v>
                </c:pt>
                <c:pt idx="4">
                  <c:v>SIEMPRE</c:v>
                </c:pt>
              </c:strCache>
            </c:strRef>
          </c:cat>
          <c:val>
            <c:numRef>
              <c:f>FRECUENCIA!$G$90:$G$94</c:f>
              <c:numCache>
                <c:formatCode>0.00</c:formatCode>
                <c:ptCount val="5"/>
                <c:pt idx="0">
                  <c:v>4.6808510638297873</c:v>
                </c:pt>
                <c:pt idx="1">
                  <c:v>20.851063829787233</c:v>
                </c:pt>
                <c:pt idx="2">
                  <c:v>51.914893617021271</c:v>
                </c:pt>
                <c:pt idx="3">
                  <c:v>80.425531914893625</c:v>
                </c:pt>
                <c:pt idx="4">
                  <c:v>96.170212765957444</c:v>
                </c:pt>
              </c:numCache>
            </c:numRef>
          </c:val>
          <c:extLst>
            <c:ext xmlns:c16="http://schemas.microsoft.com/office/drawing/2014/chart" uri="{C3380CC4-5D6E-409C-BE32-E72D297353CC}">
              <c16:uniqueId val="{00000004-6931-4835-9B9F-8EC6EA5E3285}"/>
            </c:ext>
          </c:extLst>
        </c:ser>
        <c:dLbls>
          <c:showLegendKey val="0"/>
          <c:showVal val="0"/>
          <c:showCatName val="0"/>
          <c:showSerName val="0"/>
          <c:showPercent val="0"/>
          <c:showBubbleSize val="0"/>
        </c:dLbls>
        <c:gapWidth val="219"/>
        <c:overlap val="-27"/>
        <c:axId val="1398012896"/>
        <c:axId val="1398020576"/>
      </c:barChart>
      <c:catAx>
        <c:axId val="13980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20576"/>
        <c:crosses val="autoZero"/>
        <c:auto val="1"/>
        <c:lblAlgn val="ctr"/>
        <c:lblOffset val="100"/>
        <c:noMultiLvlLbl val="0"/>
      </c:catAx>
      <c:valAx>
        <c:axId val="139802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12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REACTIVO 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FRECUENCIA!$C$100</c:f>
              <c:strCache>
                <c:ptCount val="1"/>
                <c:pt idx="0">
                  <c:v>FRECUENCIA ABSOLUTA</c:v>
                </c:pt>
              </c:strCache>
            </c:strRef>
          </c:tx>
          <c:spPr>
            <a:solidFill>
              <a:schemeClr val="accent1"/>
            </a:solidFill>
            <a:ln>
              <a:noFill/>
            </a:ln>
            <a:effectLst/>
          </c:spPr>
          <c:invertIfNegative val="0"/>
          <c:cat>
            <c:strRef>
              <c:f>FRECUENCIA!$B$101:$B$105</c:f>
              <c:strCache>
                <c:ptCount val="5"/>
                <c:pt idx="0">
                  <c:v>NUNCA</c:v>
                </c:pt>
                <c:pt idx="1">
                  <c:v>CASI NUNCA</c:v>
                </c:pt>
                <c:pt idx="2">
                  <c:v>ALGUNAS VECES</c:v>
                </c:pt>
                <c:pt idx="3">
                  <c:v>CASI SIEMPRE</c:v>
                </c:pt>
                <c:pt idx="4">
                  <c:v>SIEMPRE</c:v>
                </c:pt>
              </c:strCache>
            </c:strRef>
          </c:cat>
          <c:val>
            <c:numRef>
              <c:f>FRECUENCIA!$C$101:$C$105</c:f>
              <c:numCache>
                <c:formatCode>General</c:formatCode>
                <c:ptCount val="5"/>
                <c:pt idx="0">
                  <c:v>6</c:v>
                </c:pt>
                <c:pt idx="1">
                  <c:v>38</c:v>
                </c:pt>
                <c:pt idx="2">
                  <c:v>70</c:v>
                </c:pt>
                <c:pt idx="3">
                  <c:v>74</c:v>
                </c:pt>
                <c:pt idx="4">
                  <c:v>47</c:v>
                </c:pt>
              </c:numCache>
            </c:numRef>
          </c:val>
          <c:extLst>
            <c:ext xmlns:c16="http://schemas.microsoft.com/office/drawing/2014/chart" uri="{C3380CC4-5D6E-409C-BE32-E72D297353CC}">
              <c16:uniqueId val="{00000000-7113-4E1F-AE32-A5E1E1B64F89}"/>
            </c:ext>
          </c:extLst>
        </c:ser>
        <c:ser>
          <c:idx val="1"/>
          <c:order val="1"/>
          <c:tx>
            <c:strRef>
              <c:f>FRECUENCIA!$D$100</c:f>
              <c:strCache>
                <c:ptCount val="1"/>
                <c:pt idx="0">
                  <c:v>FRECUENCIA RELATIVA</c:v>
                </c:pt>
              </c:strCache>
            </c:strRef>
          </c:tx>
          <c:spPr>
            <a:solidFill>
              <a:schemeClr val="accent2"/>
            </a:solidFill>
            <a:ln>
              <a:noFill/>
            </a:ln>
            <a:effectLst/>
          </c:spPr>
          <c:invertIfNegative val="0"/>
          <c:cat>
            <c:strRef>
              <c:f>FRECUENCIA!$B$101:$B$105</c:f>
              <c:strCache>
                <c:ptCount val="5"/>
                <c:pt idx="0">
                  <c:v>NUNCA</c:v>
                </c:pt>
                <c:pt idx="1">
                  <c:v>CASI NUNCA</c:v>
                </c:pt>
                <c:pt idx="2">
                  <c:v>ALGUNAS VECES</c:v>
                </c:pt>
                <c:pt idx="3">
                  <c:v>CASI SIEMPRE</c:v>
                </c:pt>
                <c:pt idx="4">
                  <c:v>SIEMPRE</c:v>
                </c:pt>
              </c:strCache>
            </c:strRef>
          </c:cat>
          <c:val>
            <c:numRef>
              <c:f>FRECUENCIA!$D$101:$D$105</c:f>
              <c:numCache>
                <c:formatCode>0.00</c:formatCode>
                <c:ptCount val="5"/>
                <c:pt idx="0">
                  <c:v>2.553191489361702E-2</c:v>
                </c:pt>
                <c:pt idx="1">
                  <c:v>0.16170212765957448</c:v>
                </c:pt>
                <c:pt idx="2">
                  <c:v>0.2978723404255319</c:v>
                </c:pt>
                <c:pt idx="3">
                  <c:v>0.31489361702127661</c:v>
                </c:pt>
                <c:pt idx="4">
                  <c:v>0.2</c:v>
                </c:pt>
              </c:numCache>
            </c:numRef>
          </c:val>
          <c:extLst>
            <c:ext xmlns:c16="http://schemas.microsoft.com/office/drawing/2014/chart" uri="{C3380CC4-5D6E-409C-BE32-E72D297353CC}">
              <c16:uniqueId val="{00000001-7113-4E1F-AE32-A5E1E1B64F89}"/>
            </c:ext>
          </c:extLst>
        </c:ser>
        <c:ser>
          <c:idx val="2"/>
          <c:order val="2"/>
          <c:tx>
            <c:strRef>
              <c:f>FRECUENCIA!$E$100</c:f>
              <c:strCache>
                <c:ptCount val="1"/>
                <c:pt idx="0">
                  <c:v>PORCENTAJE</c:v>
                </c:pt>
              </c:strCache>
            </c:strRef>
          </c:tx>
          <c:spPr>
            <a:solidFill>
              <a:schemeClr val="accent3"/>
            </a:solidFill>
            <a:ln>
              <a:noFill/>
            </a:ln>
            <a:effectLst/>
          </c:spPr>
          <c:invertIfNegative val="0"/>
          <c:cat>
            <c:strRef>
              <c:f>FRECUENCIA!$B$101:$B$105</c:f>
              <c:strCache>
                <c:ptCount val="5"/>
                <c:pt idx="0">
                  <c:v>NUNCA</c:v>
                </c:pt>
                <c:pt idx="1">
                  <c:v>CASI NUNCA</c:v>
                </c:pt>
                <c:pt idx="2">
                  <c:v>ALGUNAS VECES</c:v>
                </c:pt>
                <c:pt idx="3">
                  <c:v>CASI SIEMPRE</c:v>
                </c:pt>
                <c:pt idx="4">
                  <c:v>SIEMPRE</c:v>
                </c:pt>
              </c:strCache>
            </c:strRef>
          </c:cat>
          <c:val>
            <c:numRef>
              <c:f>FRECUENCIA!$E$101:$E$105</c:f>
              <c:numCache>
                <c:formatCode>0.00</c:formatCode>
                <c:ptCount val="5"/>
                <c:pt idx="0">
                  <c:v>2.5531914893617018</c:v>
                </c:pt>
                <c:pt idx="1">
                  <c:v>16.170212765957448</c:v>
                </c:pt>
                <c:pt idx="2">
                  <c:v>29.787234042553191</c:v>
                </c:pt>
                <c:pt idx="3">
                  <c:v>31.48936170212766</c:v>
                </c:pt>
                <c:pt idx="4">
                  <c:v>20</c:v>
                </c:pt>
              </c:numCache>
            </c:numRef>
          </c:val>
          <c:extLst>
            <c:ext xmlns:c16="http://schemas.microsoft.com/office/drawing/2014/chart" uri="{C3380CC4-5D6E-409C-BE32-E72D297353CC}">
              <c16:uniqueId val="{00000002-7113-4E1F-AE32-A5E1E1B64F89}"/>
            </c:ext>
          </c:extLst>
        </c:ser>
        <c:ser>
          <c:idx val="3"/>
          <c:order val="3"/>
          <c:tx>
            <c:strRef>
              <c:f>FRECUENCIA!$F$100</c:f>
              <c:strCache>
                <c:ptCount val="1"/>
                <c:pt idx="0">
                  <c:v>FA(FRECUENCIA ACUMULADA)</c:v>
                </c:pt>
              </c:strCache>
            </c:strRef>
          </c:tx>
          <c:spPr>
            <a:solidFill>
              <a:schemeClr val="accent4"/>
            </a:solidFill>
            <a:ln>
              <a:noFill/>
            </a:ln>
            <a:effectLst/>
          </c:spPr>
          <c:invertIfNegative val="0"/>
          <c:cat>
            <c:strRef>
              <c:f>FRECUENCIA!$B$101:$B$105</c:f>
              <c:strCache>
                <c:ptCount val="5"/>
                <c:pt idx="0">
                  <c:v>NUNCA</c:v>
                </c:pt>
                <c:pt idx="1">
                  <c:v>CASI NUNCA</c:v>
                </c:pt>
                <c:pt idx="2">
                  <c:v>ALGUNAS VECES</c:v>
                </c:pt>
                <c:pt idx="3">
                  <c:v>CASI SIEMPRE</c:v>
                </c:pt>
                <c:pt idx="4">
                  <c:v>SIEMPRE</c:v>
                </c:pt>
              </c:strCache>
            </c:strRef>
          </c:cat>
          <c:val>
            <c:numRef>
              <c:f>FRECUENCIA!$F$101:$F$105</c:f>
              <c:numCache>
                <c:formatCode>General</c:formatCode>
                <c:ptCount val="5"/>
                <c:pt idx="0">
                  <c:v>11</c:v>
                </c:pt>
                <c:pt idx="1">
                  <c:v>49</c:v>
                </c:pt>
                <c:pt idx="2">
                  <c:v>119</c:v>
                </c:pt>
                <c:pt idx="3">
                  <c:v>193</c:v>
                </c:pt>
                <c:pt idx="4">
                  <c:v>240</c:v>
                </c:pt>
              </c:numCache>
            </c:numRef>
          </c:val>
          <c:extLst>
            <c:ext xmlns:c16="http://schemas.microsoft.com/office/drawing/2014/chart" uri="{C3380CC4-5D6E-409C-BE32-E72D297353CC}">
              <c16:uniqueId val="{00000003-7113-4E1F-AE32-A5E1E1B64F89}"/>
            </c:ext>
          </c:extLst>
        </c:ser>
        <c:ser>
          <c:idx val="4"/>
          <c:order val="4"/>
          <c:tx>
            <c:strRef>
              <c:f>FRECUENCIA!$G$100</c:f>
              <c:strCache>
                <c:ptCount val="1"/>
                <c:pt idx="0">
                  <c:v>% ACUMULADO</c:v>
                </c:pt>
              </c:strCache>
            </c:strRef>
          </c:tx>
          <c:spPr>
            <a:solidFill>
              <a:schemeClr val="accent5"/>
            </a:solidFill>
            <a:ln>
              <a:noFill/>
            </a:ln>
            <a:effectLst/>
          </c:spPr>
          <c:invertIfNegative val="0"/>
          <c:cat>
            <c:strRef>
              <c:f>FRECUENCIA!$B$101:$B$105</c:f>
              <c:strCache>
                <c:ptCount val="5"/>
                <c:pt idx="0">
                  <c:v>NUNCA</c:v>
                </c:pt>
                <c:pt idx="1">
                  <c:v>CASI NUNCA</c:v>
                </c:pt>
                <c:pt idx="2">
                  <c:v>ALGUNAS VECES</c:v>
                </c:pt>
                <c:pt idx="3">
                  <c:v>CASI SIEMPRE</c:v>
                </c:pt>
                <c:pt idx="4">
                  <c:v>SIEMPRE</c:v>
                </c:pt>
              </c:strCache>
            </c:strRef>
          </c:cat>
          <c:val>
            <c:numRef>
              <c:f>FRECUENCIA!$G$101:$G$105</c:f>
              <c:numCache>
                <c:formatCode>0.00</c:formatCode>
                <c:ptCount val="5"/>
                <c:pt idx="0">
                  <c:v>4.6808510638297873</c:v>
                </c:pt>
                <c:pt idx="1">
                  <c:v>20.851063829787233</c:v>
                </c:pt>
                <c:pt idx="2">
                  <c:v>50.638297872340424</c:v>
                </c:pt>
                <c:pt idx="3">
                  <c:v>82.127659574468083</c:v>
                </c:pt>
                <c:pt idx="4">
                  <c:v>102.12765957446808</c:v>
                </c:pt>
              </c:numCache>
            </c:numRef>
          </c:val>
          <c:extLst>
            <c:ext xmlns:c16="http://schemas.microsoft.com/office/drawing/2014/chart" uri="{C3380CC4-5D6E-409C-BE32-E72D297353CC}">
              <c16:uniqueId val="{00000004-7113-4E1F-AE32-A5E1E1B64F89}"/>
            </c:ext>
          </c:extLst>
        </c:ser>
        <c:dLbls>
          <c:showLegendKey val="0"/>
          <c:showVal val="0"/>
          <c:showCatName val="0"/>
          <c:showSerName val="0"/>
          <c:showPercent val="0"/>
          <c:showBubbleSize val="0"/>
        </c:dLbls>
        <c:gapWidth val="219"/>
        <c:overlap val="-27"/>
        <c:axId val="1398022496"/>
        <c:axId val="1398022976"/>
      </c:barChart>
      <c:catAx>
        <c:axId val="139802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22976"/>
        <c:crosses val="autoZero"/>
        <c:auto val="1"/>
        <c:lblAlgn val="ctr"/>
        <c:lblOffset val="100"/>
        <c:noMultiLvlLbl val="0"/>
      </c:catAx>
      <c:valAx>
        <c:axId val="139802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398022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8</xdr:col>
      <xdr:colOff>561975</xdr:colOff>
      <xdr:row>0</xdr:row>
      <xdr:rowOff>85725</xdr:rowOff>
    </xdr:from>
    <xdr:to>
      <xdr:col>16</xdr:col>
      <xdr:colOff>504825</xdr:colOff>
      <xdr:row>7</xdr:row>
      <xdr:rowOff>142875</xdr:rowOff>
    </xdr:to>
    <xdr:sp macro="" textlink="">
      <xdr:nvSpPr>
        <xdr:cNvPr id="3" name="CuadroTexto 2">
          <a:extLst>
            <a:ext uri="{FF2B5EF4-FFF2-40B4-BE49-F238E27FC236}">
              <a16:creationId xmlns:a16="http://schemas.microsoft.com/office/drawing/2014/main" id="{0F59F30B-75E3-ED47-60C6-F4F1B39DB07C}"/>
            </a:ext>
          </a:extLst>
        </xdr:cNvPr>
        <xdr:cNvSpPr txBox="1"/>
      </xdr:nvSpPr>
      <xdr:spPr>
        <a:xfrm>
          <a:off x="5534025" y="85725"/>
          <a:ext cx="7010400" cy="1323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chemeClr val="dk1"/>
              </a:solidFill>
              <a:effectLst/>
              <a:latin typeface="+mn-lt"/>
              <a:ea typeface="+mn-ea"/>
              <a:cs typeface="+mn-cs"/>
            </a:rPr>
            <a:t>H₁:</a:t>
          </a:r>
          <a:r>
            <a:rPr lang="es-ES_tradnl" sz="1100">
              <a:solidFill>
                <a:schemeClr val="dk1"/>
              </a:solidFill>
              <a:effectLst/>
              <a:latin typeface="+mn-lt"/>
              <a:ea typeface="+mn-ea"/>
              <a:cs typeface="+mn-cs"/>
            </a:rPr>
            <a:t> Las jornadas extensas de programación de 8 a 12 horas continuas producen un mayor nivel de impacto cognitivo que las jornadas regulares de menos de 4 horas en estudiantes de Ingeniería en Sistemas Computacionales de la UJAT.</a:t>
          </a:r>
        </a:p>
        <a:p>
          <a:endParaRPr lang="es-ES_tradnl" sz="1100">
            <a:solidFill>
              <a:schemeClr val="dk1"/>
            </a:solidFill>
            <a:effectLst/>
            <a:latin typeface="+mn-lt"/>
            <a:ea typeface="+mn-ea"/>
            <a:cs typeface="+mn-cs"/>
          </a:endParaRPr>
        </a:p>
        <a:p>
          <a:r>
            <a:rPr lang="es-ES_tradnl" sz="1100" b="1">
              <a:solidFill>
                <a:schemeClr val="dk1"/>
              </a:solidFill>
              <a:effectLst/>
              <a:latin typeface="+mn-lt"/>
              <a:ea typeface="+mn-ea"/>
              <a:cs typeface="+mn-cs"/>
            </a:rPr>
            <a:t>H₀:</a:t>
          </a:r>
          <a:r>
            <a:rPr lang="es-ES_tradnl" sz="1100">
              <a:solidFill>
                <a:schemeClr val="dk1"/>
              </a:solidFill>
              <a:effectLst/>
              <a:latin typeface="+mn-lt"/>
              <a:ea typeface="+mn-ea"/>
              <a:cs typeface="+mn-cs"/>
            </a:rPr>
            <a:t> Las jornadas extensas de programación de 8 a 12 horas continuas no producen un nivel de impacto cognitivo diferente al de las jornadas regulares de menos de 4 horas en estudiantes de Ingeniería en Sistemas Computacionales de la UJAT.</a:t>
          </a:r>
        </a:p>
      </xdr:txBody>
    </xdr:sp>
    <xdr:clientData/>
  </xdr:twoCellAnchor>
  <xdr:twoCellAnchor>
    <xdr:from>
      <xdr:col>2</xdr:col>
      <xdr:colOff>161925</xdr:colOff>
      <xdr:row>0</xdr:row>
      <xdr:rowOff>76200</xdr:rowOff>
    </xdr:from>
    <xdr:to>
      <xdr:col>6</xdr:col>
      <xdr:colOff>238125</xdr:colOff>
      <xdr:row>6</xdr:row>
      <xdr:rowOff>114299</xdr:rowOff>
    </xdr:to>
    <xdr:sp macro="" textlink="">
      <xdr:nvSpPr>
        <xdr:cNvPr id="4" name="CuadroTexto 3">
          <a:extLst>
            <a:ext uri="{FF2B5EF4-FFF2-40B4-BE49-F238E27FC236}">
              <a16:creationId xmlns:a16="http://schemas.microsoft.com/office/drawing/2014/main" id="{9B3C73D6-7174-8CC4-C191-698611AEC16F}"/>
            </a:ext>
          </a:extLst>
        </xdr:cNvPr>
        <xdr:cNvSpPr txBox="1"/>
      </xdr:nvSpPr>
      <xdr:spPr>
        <a:xfrm>
          <a:off x="1914525" y="76200"/>
          <a:ext cx="2114550" cy="11239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a:t>Para obtener x se tomaron los 132 estudiantes que respondieron "Menos de 2 horas" o "2-4 horas" en la Pregunta 4</a:t>
          </a:r>
        </a:p>
      </xdr:txBody>
    </xdr:sp>
    <xdr:clientData/>
  </xdr:twoCellAnchor>
  <xdr:twoCellAnchor editAs="oneCell">
    <xdr:from>
      <xdr:col>18</xdr:col>
      <xdr:colOff>0</xdr:colOff>
      <xdr:row>11</xdr:row>
      <xdr:rowOff>0</xdr:rowOff>
    </xdr:from>
    <xdr:to>
      <xdr:col>18</xdr:col>
      <xdr:colOff>304800</xdr:colOff>
      <xdr:row>12</xdr:row>
      <xdr:rowOff>104776</xdr:rowOff>
    </xdr:to>
    <xdr:sp macro="" textlink="">
      <xdr:nvSpPr>
        <xdr:cNvPr id="6145" name="AutoShape 1">
          <a:extLst>
            <a:ext uri="{FF2B5EF4-FFF2-40B4-BE49-F238E27FC236}">
              <a16:creationId xmlns:a16="http://schemas.microsoft.com/office/drawing/2014/main" id="{84AF865B-B17E-C24E-BC0C-34AA0470AA58}"/>
            </a:ext>
          </a:extLst>
        </xdr:cNvPr>
        <xdr:cNvSpPr>
          <a:spLocks noChangeAspect="1" noChangeArrowheads="1"/>
        </xdr:cNvSpPr>
      </xdr:nvSpPr>
      <xdr:spPr bwMode="auto">
        <a:xfrm>
          <a:off x="15401925"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8</xdr:row>
      <xdr:rowOff>0</xdr:rowOff>
    </xdr:from>
    <xdr:to>
      <xdr:col>18</xdr:col>
      <xdr:colOff>304800</xdr:colOff>
      <xdr:row>9</xdr:row>
      <xdr:rowOff>123825</xdr:rowOff>
    </xdr:to>
    <xdr:sp macro="" textlink="">
      <xdr:nvSpPr>
        <xdr:cNvPr id="6146" name="AutoShape 2">
          <a:extLst>
            <a:ext uri="{FF2B5EF4-FFF2-40B4-BE49-F238E27FC236}">
              <a16:creationId xmlns:a16="http://schemas.microsoft.com/office/drawing/2014/main" id="{F4F85EC4-CECD-C2D1-9162-5476B6C06AED}"/>
            </a:ext>
          </a:extLst>
        </xdr:cNvPr>
        <xdr:cNvSpPr>
          <a:spLocks noChangeAspect="1" noChangeArrowheads="1"/>
        </xdr:cNvSpPr>
      </xdr:nvSpPr>
      <xdr:spPr bwMode="auto">
        <a:xfrm>
          <a:off x="15401925" y="144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8</xdr:row>
      <xdr:rowOff>0</xdr:rowOff>
    </xdr:from>
    <xdr:to>
      <xdr:col>18</xdr:col>
      <xdr:colOff>304800</xdr:colOff>
      <xdr:row>9</xdr:row>
      <xdr:rowOff>123825</xdr:rowOff>
    </xdr:to>
    <xdr:sp macro="" textlink="">
      <xdr:nvSpPr>
        <xdr:cNvPr id="6147" name="AutoShape 3">
          <a:extLst>
            <a:ext uri="{FF2B5EF4-FFF2-40B4-BE49-F238E27FC236}">
              <a16:creationId xmlns:a16="http://schemas.microsoft.com/office/drawing/2014/main" id="{11BB5717-AEBA-EE3F-3577-E241C5DC32DA}"/>
            </a:ext>
          </a:extLst>
        </xdr:cNvPr>
        <xdr:cNvSpPr>
          <a:spLocks noChangeAspect="1" noChangeArrowheads="1"/>
        </xdr:cNvSpPr>
      </xdr:nvSpPr>
      <xdr:spPr bwMode="auto">
        <a:xfrm>
          <a:off x="15401925" y="144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8</xdr:row>
      <xdr:rowOff>0</xdr:rowOff>
    </xdr:from>
    <xdr:to>
      <xdr:col>18</xdr:col>
      <xdr:colOff>304800</xdr:colOff>
      <xdr:row>9</xdr:row>
      <xdr:rowOff>123825</xdr:rowOff>
    </xdr:to>
    <xdr:sp macro="" textlink="">
      <xdr:nvSpPr>
        <xdr:cNvPr id="6150" name="AutoShape 6">
          <a:extLst>
            <a:ext uri="{FF2B5EF4-FFF2-40B4-BE49-F238E27FC236}">
              <a16:creationId xmlns:a16="http://schemas.microsoft.com/office/drawing/2014/main" id="{EB477AD1-A9F5-3486-4DB6-A9695ECC555C}"/>
            </a:ext>
          </a:extLst>
        </xdr:cNvPr>
        <xdr:cNvSpPr>
          <a:spLocks noChangeAspect="1" noChangeArrowheads="1"/>
        </xdr:cNvSpPr>
      </xdr:nvSpPr>
      <xdr:spPr bwMode="auto">
        <a:xfrm>
          <a:off x="15401925" y="144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371475</xdr:colOff>
      <xdr:row>7</xdr:row>
      <xdr:rowOff>85726</xdr:rowOff>
    </xdr:from>
    <xdr:to>
      <xdr:col>20</xdr:col>
      <xdr:colOff>403860</xdr:colOff>
      <xdr:row>10</xdr:row>
      <xdr:rowOff>345702</xdr:rowOff>
    </xdr:to>
    <xdr:pic>
      <xdr:nvPicPr>
        <xdr:cNvPr id="6" name="Imagen 5">
          <a:extLst>
            <a:ext uri="{FF2B5EF4-FFF2-40B4-BE49-F238E27FC236}">
              <a16:creationId xmlns:a16="http://schemas.microsoft.com/office/drawing/2014/main" id="{0FC501E7-138B-A0A8-6059-D906889B8B69}"/>
            </a:ext>
          </a:extLst>
        </xdr:cNvPr>
        <xdr:cNvPicPr>
          <a:picLocks noChangeAspect="1"/>
        </xdr:cNvPicPr>
      </xdr:nvPicPr>
      <xdr:blipFill>
        <a:blip xmlns:r="http://schemas.openxmlformats.org/officeDocument/2006/relationships" r:embed="rId1"/>
        <a:stretch>
          <a:fillRect/>
        </a:stretch>
      </xdr:blipFill>
      <xdr:spPr>
        <a:xfrm>
          <a:off x="15030450" y="1352551"/>
          <a:ext cx="1556385" cy="819150"/>
        </a:xfrm>
        <a:prstGeom prst="rect">
          <a:avLst/>
        </a:prstGeom>
      </xdr:spPr>
    </xdr:pic>
    <xdr:clientData/>
  </xdr:twoCellAnchor>
  <xdr:twoCellAnchor>
    <xdr:from>
      <xdr:col>37</xdr:col>
      <xdr:colOff>571500</xdr:colOff>
      <xdr:row>26</xdr:row>
      <xdr:rowOff>11206</xdr:rowOff>
    </xdr:from>
    <xdr:to>
      <xdr:col>41</xdr:col>
      <xdr:colOff>638735</xdr:colOff>
      <xdr:row>33</xdr:row>
      <xdr:rowOff>22412</xdr:rowOff>
    </xdr:to>
    <xdr:sp macro="" textlink="">
      <xdr:nvSpPr>
        <xdr:cNvPr id="7" name="CuadroTexto 6">
          <a:extLst>
            <a:ext uri="{FF2B5EF4-FFF2-40B4-BE49-F238E27FC236}">
              <a16:creationId xmlns:a16="http://schemas.microsoft.com/office/drawing/2014/main" id="{F681F52C-A565-756D-CA8B-5C03133E98D4}"/>
            </a:ext>
          </a:extLst>
        </xdr:cNvPr>
        <xdr:cNvSpPr txBox="1"/>
      </xdr:nvSpPr>
      <xdr:spPr>
        <a:xfrm>
          <a:off x="31891941" y="5188324"/>
          <a:ext cx="4011706" cy="1423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_tradnl" sz="1100" i="1">
              <a:solidFill>
                <a:schemeClr val="dk1"/>
              </a:solidFill>
              <a:effectLst/>
              <a:latin typeface="+mn-lt"/>
              <a:ea typeface="+mn-ea"/>
              <a:cs typeface="+mn-cs"/>
            </a:rPr>
            <a:t> </a:t>
          </a:r>
          <a:r>
            <a:rPr lang="es-ES_tradnl" sz="1100">
              <a:solidFill>
                <a:schemeClr val="dk1"/>
              </a:solidFill>
              <a:effectLst/>
              <a:latin typeface="+mn-lt"/>
              <a:ea typeface="+mn-ea"/>
              <a:cs typeface="+mn-cs"/>
            </a:rPr>
            <a:t>Los estudiantes con jornadas extensas presentan un nivel de impacto cognitivo significativamente superior al punto neutral. Programar entre 8 y 12 horas continuas genera deterioro cognitivo estadísticamente comprobado.</a:t>
          </a:r>
          <a:r>
            <a:rPr lang="es-ES_tradnl" sz="1100" baseline="0">
              <a:solidFill>
                <a:schemeClr val="dk1"/>
              </a:solidFill>
              <a:effectLst/>
              <a:latin typeface="+mn-lt"/>
              <a:ea typeface="+mn-ea"/>
              <a:cs typeface="+mn-cs"/>
            </a:rPr>
            <a:t> Por lo cual se comprueba H1, donde </a:t>
          </a:r>
          <a:r>
            <a:rPr lang="es-ES_tradnl" sz="1100" i="0" baseline="0">
              <a:solidFill>
                <a:schemeClr val="dk1"/>
              </a:solidFill>
              <a:effectLst/>
              <a:latin typeface="+mn-lt"/>
              <a:ea typeface="+mn-ea"/>
              <a:cs typeface="+mn-cs"/>
            </a:rPr>
            <a:t>l</a:t>
          </a:r>
          <a:r>
            <a:rPr lang="es-ES_tradnl" i="0"/>
            <a:t>as jornadas extensas de 8–12 horas SÍ producen un mayor impacto cognitivo</a:t>
          </a:r>
        </a:p>
        <a:p>
          <a:pPr marL="0" marR="0" lvl="0" indent="0" defTabSz="914400" eaLnBrk="1" fontAlgn="auto" latinLnBrk="0" hangingPunct="1">
            <a:lnSpc>
              <a:spcPct val="100000"/>
            </a:lnSpc>
            <a:spcBef>
              <a:spcPts val="0"/>
            </a:spcBef>
            <a:spcAft>
              <a:spcPts val="0"/>
            </a:spcAft>
            <a:buClrTx/>
            <a:buSzTx/>
            <a:buFontTx/>
            <a:buNone/>
            <a:tabLst/>
            <a:defRPr/>
          </a:pPr>
          <a:endParaRPr lang="es-ES_tradnl" sz="11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17</xdr:row>
      <xdr:rowOff>66675</xdr:rowOff>
    </xdr:from>
    <xdr:ext cx="7667625" cy="4449449"/>
    <xdr:graphicFrame macro="">
      <xdr:nvGraphicFramePr>
        <xdr:cNvPr id="2" name="Chart 1">
          <a:extLst>
            <a:ext uri="{FF2B5EF4-FFF2-40B4-BE49-F238E27FC236}">
              <a16:creationId xmlns:a16="http://schemas.microsoft.com/office/drawing/2014/main" id="{B8E4819A-0F72-4566-88B4-158AC0CCE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761999</xdr:colOff>
      <xdr:row>3</xdr:row>
      <xdr:rowOff>0</xdr:rowOff>
    </xdr:from>
    <xdr:ext cx="8867775" cy="5562600"/>
    <xdr:graphicFrame macro="">
      <xdr:nvGraphicFramePr>
        <xdr:cNvPr id="3" name="Chart 2">
          <a:extLst>
            <a:ext uri="{FF2B5EF4-FFF2-40B4-BE49-F238E27FC236}">
              <a16:creationId xmlns:a16="http://schemas.microsoft.com/office/drawing/2014/main" id="{4062B635-C848-4836-9E4B-72A7AAD57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10</xdr:col>
      <xdr:colOff>0</xdr:colOff>
      <xdr:row>3</xdr:row>
      <xdr:rowOff>0</xdr:rowOff>
    </xdr:from>
    <xdr:ext cx="5029200" cy="3765600"/>
    <xdr:graphicFrame macro="">
      <xdr:nvGraphicFramePr>
        <xdr:cNvPr id="2" name="Chart 1">
          <a:extLst>
            <a:ext uri="{FF2B5EF4-FFF2-40B4-BE49-F238E27FC236}">
              <a16:creationId xmlns:a16="http://schemas.microsoft.com/office/drawing/2014/main" id="{C07F2982-CD7D-4FED-AA31-B29AD5472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209550</xdr:colOff>
      <xdr:row>12</xdr:row>
      <xdr:rowOff>0</xdr:rowOff>
    </xdr:from>
    <xdr:ext cx="6480000" cy="4680000"/>
    <xdr:graphicFrame macro="">
      <xdr:nvGraphicFramePr>
        <xdr:cNvPr id="3" name="Chart 2">
          <a:extLst>
            <a:ext uri="{FF2B5EF4-FFF2-40B4-BE49-F238E27FC236}">
              <a16:creationId xmlns:a16="http://schemas.microsoft.com/office/drawing/2014/main" id="{C6FC3FC5-97CF-41E5-8E83-865259435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9</xdr:col>
      <xdr:colOff>104775</xdr:colOff>
      <xdr:row>2</xdr:row>
      <xdr:rowOff>9525</xdr:rowOff>
    </xdr:from>
    <xdr:ext cx="7200000" cy="4680000"/>
    <xdr:graphicFrame macro="">
      <xdr:nvGraphicFramePr>
        <xdr:cNvPr id="2" name="Chart 1">
          <a:extLst>
            <a:ext uri="{FF2B5EF4-FFF2-40B4-BE49-F238E27FC236}">
              <a16:creationId xmlns:a16="http://schemas.microsoft.com/office/drawing/2014/main" id="{54F4E09F-5EDE-4662-BB7C-5F8CAFB97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14</xdr:row>
      <xdr:rowOff>142875</xdr:rowOff>
    </xdr:from>
    <xdr:ext cx="5562600" cy="3971925"/>
    <xdr:graphicFrame macro="">
      <xdr:nvGraphicFramePr>
        <xdr:cNvPr id="3" name="Chart 2">
          <a:extLst>
            <a:ext uri="{FF2B5EF4-FFF2-40B4-BE49-F238E27FC236}">
              <a16:creationId xmlns:a16="http://schemas.microsoft.com/office/drawing/2014/main" id="{B9272C66-0FB3-4822-A198-31D7ADD51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twoCellAnchor>
    <xdr:from>
      <xdr:col>0</xdr:col>
      <xdr:colOff>571500</xdr:colOff>
      <xdr:row>14</xdr:row>
      <xdr:rowOff>76200</xdr:rowOff>
    </xdr:from>
    <xdr:to>
      <xdr:col>8</xdr:col>
      <xdr:colOff>171450</xdr:colOff>
      <xdr:row>35</xdr:row>
      <xdr:rowOff>104775</xdr:rowOff>
    </xdr:to>
    <xdr:graphicFrame macro="">
      <xdr:nvGraphicFramePr>
        <xdr:cNvPr id="2" name="Gráfico 1">
          <a:extLst>
            <a:ext uri="{FF2B5EF4-FFF2-40B4-BE49-F238E27FC236}">
              <a16:creationId xmlns:a16="http://schemas.microsoft.com/office/drawing/2014/main" id="{B6073048-4347-8C02-A494-747453772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71436</xdr:colOff>
      <xdr:row>15</xdr:row>
      <xdr:rowOff>85724</xdr:rowOff>
    </xdr:from>
    <xdr:to>
      <xdr:col>21</xdr:col>
      <xdr:colOff>152400</xdr:colOff>
      <xdr:row>39</xdr:row>
      <xdr:rowOff>19049</xdr:rowOff>
    </xdr:to>
    <xdr:graphicFrame macro="">
      <xdr:nvGraphicFramePr>
        <xdr:cNvPr id="6" name="Gráfico 5">
          <a:extLst>
            <a:ext uri="{FF2B5EF4-FFF2-40B4-BE49-F238E27FC236}">
              <a16:creationId xmlns:a16="http://schemas.microsoft.com/office/drawing/2014/main" id="{011B5DB9-1AE1-9CA6-09FF-1A7326BBA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209550</xdr:colOff>
      <xdr:row>13</xdr:row>
      <xdr:rowOff>152400</xdr:rowOff>
    </xdr:from>
    <xdr:ext cx="7920000" cy="5600700"/>
    <xdr:graphicFrame macro="">
      <xdr:nvGraphicFramePr>
        <xdr:cNvPr id="2" name="Chart 1">
          <a:extLst>
            <a:ext uri="{FF2B5EF4-FFF2-40B4-BE49-F238E27FC236}">
              <a16:creationId xmlns:a16="http://schemas.microsoft.com/office/drawing/2014/main" id="{8F165E5B-BAD2-42EF-8348-8FD8196EA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514349</xdr:colOff>
      <xdr:row>13</xdr:row>
      <xdr:rowOff>19050</xdr:rowOff>
    </xdr:from>
    <xdr:ext cx="8296275" cy="5249550"/>
    <xdr:graphicFrame macro="">
      <xdr:nvGraphicFramePr>
        <xdr:cNvPr id="3" name="Chart 2">
          <a:extLst>
            <a:ext uri="{FF2B5EF4-FFF2-40B4-BE49-F238E27FC236}">
              <a16:creationId xmlns:a16="http://schemas.microsoft.com/office/drawing/2014/main" id="{4373D373-D2F0-4DDC-A515-1555BA1D2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7.xml><?xml version="1.0" encoding="utf-8"?>
<xdr:wsDr xmlns:xdr="http://schemas.openxmlformats.org/drawingml/2006/spreadsheetDrawing" xmlns:a="http://schemas.openxmlformats.org/drawingml/2006/main">
  <xdr:twoCellAnchor>
    <xdr:from>
      <xdr:col>7</xdr:col>
      <xdr:colOff>66674</xdr:colOff>
      <xdr:row>1</xdr:row>
      <xdr:rowOff>152400</xdr:rowOff>
    </xdr:from>
    <xdr:to>
      <xdr:col>10</xdr:col>
      <xdr:colOff>704850</xdr:colOff>
      <xdr:row>7</xdr:row>
      <xdr:rowOff>95250</xdr:rowOff>
    </xdr:to>
    <xdr:sp macro="" textlink="">
      <xdr:nvSpPr>
        <xdr:cNvPr id="2" name="Rectángulo 1">
          <a:extLst>
            <a:ext uri="{FF2B5EF4-FFF2-40B4-BE49-F238E27FC236}">
              <a16:creationId xmlns:a16="http://schemas.microsoft.com/office/drawing/2014/main" id="{0655A1A7-77B0-E5E0-4A87-55C3E9767230}"/>
            </a:ext>
          </a:extLst>
        </xdr:cNvPr>
        <xdr:cNvSpPr/>
      </xdr:nvSpPr>
      <xdr:spPr>
        <a:xfrm>
          <a:off x="9315449" y="476250"/>
          <a:ext cx="3419476" cy="914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ES_tradnl" sz="1100">
              <a:solidFill>
                <a:sysClr val="windowText" lastClr="000000"/>
              </a:solidFill>
            </a:rPr>
            <a:t>Las</a:t>
          </a:r>
          <a:r>
            <a:rPr lang="es-ES_tradnl" sz="1100" baseline="0">
              <a:solidFill>
                <a:sysClr val="windowText" lastClr="000000"/>
              </a:solidFill>
            </a:rPr>
            <a:t> respuestas se dividieron por grupos. Como son preguntas abiertas no tienen un valor como los reactivos que se miden como Linkert.</a:t>
          </a:r>
          <a:endParaRPr lang="es-ES_tradnl" sz="1100">
            <a:solidFill>
              <a:sysClr val="windowText" lastClr="000000"/>
            </a:solidFill>
          </a:endParaRPr>
        </a:p>
      </xdr:txBody>
    </xdr:sp>
    <xdr:clientData/>
  </xdr:twoCellAnchor>
  <xdr:twoCellAnchor>
    <xdr:from>
      <xdr:col>5</xdr:col>
      <xdr:colOff>457199</xdr:colOff>
      <xdr:row>8</xdr:row>
      <xdr:rowOff>47624</xdr:rowOff>
    </xdr:from>
    <xdr:to>
      <xdr:col>12</xdr:col>
      <xdr:colOff>714374</xdr:colOff>
      <xdr:row>27</xdr:row>
      <xdr:rowOff>28574</xdr:rowOff>
    </xdr:to>
    <xdr:graphicFrame macro="">
      <xdr:nvGraphicFramePr>
        <xdr:cNvPr id="4" name="Gráfico 3">
          <a:extLst>
            <a:ext uri="{FF2B5EF4-FFF2-40B4-BE49-F238E27FC236}">
              <a16:creationId xmlns:a16="http://schemas.microsoft.com/office/drawing/2014/main" id="{14B1EBD1-DCF9-3CE2-E903-0C8269DA8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114299</xdr:colOff>
      <xdr:row>10</xdr:row>
      <xdr:rowOff>47625</xdr:rowOff>
    </xdr:from>
    <xdr:to>
      <xdr:col>1</xdr:col>
      <xdr:colOff>2000250</xdr:colOff>
      <xdr:row>14</xdr:row>
      <xdr:rowOff>123825</xdr:rowOff>
    </xdr:to>
    <xdr:sp macro="" textlink="">
      <xdr:nvSpPr>
        <xdr:cNvPr id="3" name="Rectángulo 2">
          <a:extLst>
            <a:ext uri="{FF2B5EF4-FFF2-40B4-BE49-F238E27FC236}">
              <a16:creationId xmlns:a16="http://schemas.microsoft.com/office/drawing/2014/main" id="{37844A27-F723-4B23-811C-F601C03A8E74}"/>
            </a:ext>
          </a:extLst>
        </xdr:cNvPr>
        <xdr:cNvSpPr/>
      </xdr:nvSpPr>
      <xdr:spPr>
        <a:xfrm>
          <a:off x="114299" y="1666875"/>
          <a:ext cx="2647951" cy="7239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ES_tradnl" b="0">
              <a:solidFill>
                <a:schemeClr val="tx1"/>
              </a:solidFill>
            </a:rPr>
            <a:t>De los 235 encuestados, 152 respondieron esta pregunta (era opcional) y 83 la dejaron en blanco.</a:t>
          </a:r>
          <a:endParaRPr lang="es-ES_tradnl" sz="1100" b="0">
            <a:solidFill>
              <a:schemeClr val="tx1"/>
            </a:solidFill>
          </a:endParaRPr>
        </a:p>
      </xdr:txBody>
    </xdr:sp>
    <xdr:clientData/>
  </xdr:twoCellAnchor>
  <xdr:twoCellAnchor>
    <xdr:from>
      <xdr:col>3</xdr:col>
      <xdr:colOff>295275</xdr:colOff>
      <xdr:row>11</xdr:row>
      <xdr:rowOff>57149</xdr:rowOff>
    </xdr:from>
    <xdr:to>
      <xdr:col>8</xdr:col>
      <xdr:colOff>314325</xdr:colOff>
      <xdr:row>36</xdr:row>
      <xdr:rowOff>57149</xdr:rowOff>
    </xdr:to>
    <xdr:graphicFrame macro="">
      <xdr:nvGraphicFramePr>
        <xdr:cNvPr id="2" name="Gráfico 1">
          <a:extLst>
            <a:ext uri="{FF2B5EF4-FFF2-40B4-BE49-F238E27FC236}">
              <a16:creationId xmlns:a16="http://schemas.microsoft.com/office/drawing/2014/main" id="{081BF2FE-E9DD-9C16-9063-D17A61CB0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9525</xdr:colOff>
      <xdr:row>0</xdr:row>
      <xdr:rowOff>9525</xdr:rowOff>
    </xdr:from>
    <xdr:to>
      <xdr:col>15</xdr:col>
      <xdr:colOff>9525</xdr:colOff>
      <xdr:row>15</xdr:row>
      <xdr:rowOff>142875</xdr:rowOff>
    </xdr:to>
    <xdr:graphicFrame macro="">
      <xdr:nvGraphicFramePr>
        <xdr:cNvPr id="4" name="Gráfico 3">
          <a:extLst>
            <a:ext uri="{FF2B5EF4-FFF2-40B4-BE49-F238E27FC236}">
              <a16:creationId xmlns:a16="http://schemas.microsoft.com/office/drawing/2014/main" id="{D59F8BCE-D3CD-F2DA-9C16-C0721889E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xdr:colOff>
      <xdr:row>18</xdr:row>
      <xdr:rowOff>8808</xdr:rowOff>
    </xdr:from>
    <xdr:to>
      <xdr:col>15</xdr:col>
      <xdr:colOff>9525</xdr:colOff>
      <xdr:row>34</xdr:row>
      <xdr:rowOff>163154</xdr:rowOff>
    </xdr:to>
    <xdr:graphicFrame macro="">
      <xdr:nvGraphicFramePr>
        <xdr:cNvPr id="5" name="Gráfico 4">
          <a:extLst>
            <a:ext uri="{FF2B5EF4-FFF2-40B4-BE49-F238E27FC236}">
              <a16:creationId xmlns:a16="http://schemas.microsoft.com/office/drawing/2014/main" id="{95C8CE6E-7921-2940-9A5B-9E1F7ECB1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xdr:colOff>
      <xdr:row>36</xdr:row>
      <xdr:rowOff>0</xdr:rowOff>
    </xdr:from>
    <xdr:to>
      <xdr:col>15</xdr:col>
      <xdr:colOff>9525</xdr:colOff>
      <xdr:row>52</xdr:row>
      <xdr:rowOff>152400</xdr:rowOff>
    </xdr:to>
    <xdr:graphicFrame macro="">
      <xdr:nvGraphicFramePr>
        <xdr:cNvPr id="6" name="Gráfico 5">
          <a:extLst>
            <a:ext uri="{FF2B5EF4-FFF2-40B4-BE49-F238E27FC236}">
              <a16:creationId xmlns:a16="http://schemas.microsoft.com/office/drawing/2014/main" id="{9580703B-B532-FFB3-6069-896BA6BF0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8808</xdr:colOff>
      <xdr:row>53</xdr:row>
      <xdr:rowOff>152195</xdr:rowOff>
    </xdr:from>
    <xdr:to>
      <xdr:col>15</xdr:col>
      <xdr:colOff>8808</xdr:colOff>
      <xdr:row>69</xdr:row>
      <xdr:rowOff>112149</xdr:rowOff>
    </xdr:to>
    <xdr:graphicFrame macro="">
      <xdr:nvGraphicFramePr>
        <xdr:cNvPr id="7" name="Gráfico 6">
          <a:extLst>
            <a:ext uri="{FF2B5EF4-FFF2-40B4-BE49-F238E27FC236}">
              <a16:creationId xmlns:a16="http://schemas.microsoft.com/office/drawing/2014/main" id="{74369EE8-8D72-A303-C19B-DE325B5C2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756470</xdr:colOff>
      <xdr:row>71</xdr:row>
      <xdr:rowOff>10447</xdr:rowOff>
    </xdr:from>
    <xdr:to>
      <xdr:col>15</xdr:col>
      <xdr:colOff>17617</xdr:colOff>
      <xdr:row>89</xdr:row>
      <xdr:rowOff>10447</xdr:rowOff>
    </xdr:to>
    <xdr:graphicFrame macro="">
      <xdr:nvGraphicFramePr>
        <xdr:cNvPr id="8" name="Gráfico 7">
          <a:extLst>
            <a:ext uri="{FF2B5EF4-FFF2-40B4-BE49-F238E27FC236}">
              <a16:creationId xmlns:a16="http://schemas.microsoft.com/office/drawing/2014/main" id="{7C19C016-6A06-C345-C471-59042A726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2970</xdr:colOff>
      <xdr:row>0</xdr:row>
      <xdr:rowOff>0</xdr:rowOff>
    </xdr:from>
    <xdr:to>
      <xdr:col>22</xdr:col>
      <xdr:colOff>2970</xdr:colOff>
      <xdr:row>14</xdr:row>
      <xdr:rowOff>125771</xdr:rowOff>
    </xdr:to>
    <xdr:graphicFrame macro="">
      <xdr:nvGraphicFramePr>
        <xdr:cNvPr id="9" name="Gráfico 8">
          <a:extLst>
            <a:ext uri="{FF2B5EF4-FFF2-40B4-BE49-F238E27FC236}">
              <a16:creationId xmlns:a16="http://schemas.microsoft.com/office/drawing/2014/main" id="{33FDFA56-6B28-E000-C0FB-8F689C2B0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4553</xdr:colOff>
      <xdr:row>17</xdr:row>
      <xdr:rowOff>160464</xdr:rowOff>
    </xdr:from>
    <xdr:to>
      <xdr:col>22</xdr:col>
      <xdr:colOff>29664</xdr:colOff>
      <xdr:row>33</xdr:row>
      <xdr:rowOff>143146</xdr:rowOff>
    </xdr:to>
    <xdr:graphicFrame macro="">
      <xdr:nvGraphicFramePr>
        <xdr:cNvPr id="10" name="Gráfico 9">
          <a:extLst>
            <a:ext uri="{FF2B5EF4-FFF2-40B4-BE49-F238E27FC236}">
              <a16:creationId xmlns:a16="http://schemas.microsoft.com/office/drawing/2014/main" id="{262E8F78-33F8-9C05-2B6B-46E1B9E36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755854</xdr:colOff>
      <xdr:row>35</xdr:row>
      <xdr:rowOff>139085</xdr:rowOff>
    </xdr:from>
    <xdr:to>
      <xdr:col>22</xdr:col>
      <xdr:colOff>22532</xdr:colOff>
      <xdr:row>50</xdr:row>
      <xdr:rowOff>250108</xdr:rowOff>
    </xdr:to>
    <xdr:graphicFrame macro="">
      <xdr:nvGraphicFramePr>
        <xdr:cNvPr id="11" name="Gráfico 10">
          <a:extLst>
            <a:ext uri="{FF2B5EF4-FFF2-40B4-BE49-F238E27FC236}">
              <a16:creationId xmlns:a16="http://schemas.microsoft.com/office/drawing/2014/main" id="{2EF5309F-23F3-D744-668F-23EF3EFB8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720423</xdr:colOff>
      <xdr:row>54</xdr:row>
      <xdr:rowOff>57149</xdr:rowOff>
    </xdr:from>
    <xdr:to>
      <xdr:col>21</xdr:col>
      <xdr:colOff>659469</xdr:colOff>
      <xdr:row>70</xdr:row>
      <xdr:rowOff>3470</xdr:rowOff>
    </xdr:to>
    <xdr:graphicFrame macro="">
      <xdr:nvGraphicFramePr>
        <xdr:cNvPr id="12" name="Gráfico 11">
          <a:extLst>
            <a:ext uri="{FF2B5EF4-FFF2-40B4-BE49-F238E27FC236}">
              <a16:creationId xmlns:a16="http://schemas.microsoft.com/office/drawing/2014/main" id="{D83CE6FC-D533-89BB-324A-6A6B2F738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etsa\Downloads\reactivo_1.xlsx" TargetMode="External"/><Relationship Id="rId1" Type="http://schemas.openxmlformats.org/officeDocument/2006/relationships/externalLinkPath" Target="/Users/Betsa/Downloads/reactivo_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Betsa\Downloads\reactivos_2_3.xlsx" TargetMode="External"/><Relationship Id="rId1" Type="http://schemas.openxmlformats.org/officeDocument/2006/relationships/externalLinkPath" Target="/Users/Betsa/Downloads/reactivos_2_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Betsa\Downloads\reactivos_4_5.xlsx" TargetMode="External"/><Relationship Id="rId1" Type="http://schemas.openxmlformats.org/officeDocument/2006/relationships/externalLinkPath" Target="/Users/Betsa/Downloads/reactivos_4_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CTIVO 1"/>
    </sheetNames>
    <sheetDataSet>
      <sheetData sheetId="0">
        <row r="4">
          <cell r="C4" t="str">
            <v>FA</v>
          </cell>
          <cell r="E4" t="str">
            <v>Porcentaje (%)</v>
          </cell>
        </row>
        <row r="5">
          <cell r="B5" t="str">
            <v>Primer semestre</v>
          </cell>
          <cell r="C5">
            <v>5</v>
          </cell>
          <cell r="E5">
            <v>2.13</v>
          </cell>
        </row>
        <row r="6">
          <cell r="B6" t="str">
            <v>Segundo semestre</v>
          </cell>
          <cell r="C6">
            <v>17</v>
          </cell>
          <cell r="E6">
            <v>7.23</v>
          </cell>
        </row>
        <row r="7">
          <cell r="B7" t="str">
            <v>Tercer semestre</v>
          </cell>
          <cell r="C7">
            <v>27</v>
          </cell>
          <cell r="E7">
            <v>11.49</v>
          </cell>
        </row>
        <row r="8">
          <cell r="B8" t="str">
            <v>Cuarto semestre</v>
          </cell>
          <cell r="C8">
            <v>33</v>
          </cell>
          <cell r="E8">
            <v>14.04</v>
          </cell>
        </row>
        <row r="9">
          <cell r="B9" t="str">
            <v>Quinto semestre</v>
          </cell>
          <cell r="C9">
            <v>20</v>
          </cell>
          <cell r="E9">
            <v>8.51</v>
          </cell>
        </row>
        <row r="10">
          <cell r="B10" t="str">
            <v>Sexto semestre</v>
          </cell>
          <cell r="C10">
            <v>33</v>
          </cell>
          <cell r="E10">
            <v>14.04</v>
          </cell>
        </row>
        <row r="11">
          <cell r="B11" t="str">
            <v>Séptimo semestre</v>
          </cell>
          <cell r="C11">
            <v>18</v>
          </cell>
          <cell r="E11">
            <v>7.66</v>
          </cell>
        </row>
        <row r="12">
          <cell r="B12" t="str">
            <v>Octavo semestre</v>
          </cell>
          <cell r="C12">
            <v>37</v>
          </cell>
          <cell r="E12">
            <v>15.74</v>
          </cell>
        </row>
        <row r="13">
          <cell r="B13" t="str">
            <v>Noveno semestre o superior</v>
          </cell>
          <cell r="C13">
            <v>45</v>
          </cell>
          <cell r="E13">
            <v>19.149999999999999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CTIVO 2"/>
      <sheetName val="REACTIVO 3"/>
    </sheetNames>
    <sheetDataSet>
      <sheetData sheetId="0">
        <row r="4">
          <cell r="C4" t="str">
            <v>FA</v>
          </cell>
          <cell r="E4" t="str">
            <v>Porcentaje (%)</v>
          </cell>
        </row>
        <row r="5">
          <cell r="B5" t="str">
            <v>Hombre</v>
          </cell>
          <cell r="C5">
            <v>154</v>
          </cell>
          <cell r="E5">
            <v>65.53</v>
          </cell>
        </row>
        <row r="6">
          <cell r="B6" t="str">
            <v>Mujer</v>
          </cell>
          <cell r="C6">
            <v>75</v>
          </cell>
          <cell r="E6">
            <v>31.91</v>
          </cell>
        </row>
        <row r="7">
          <cell r="B7" t="str">
            <v>Prefiero no decirlo</v>
          </cell>
          <cell r="C7">
            <v>6</v>
          </cell>
          <cell r="E7">
            <v>2.5499999999999998</v>
          </cell>
        </row>
      </sheetData>
      <sheetData sheetId="1">
        <row r="4">
          <cell r="C4" t="str">
            <v>FA</v>
          </cell>
          <cell r="E4" t="str">
            <v>Porcentaje (%)</v>
          </cell>
        </row>
        <row r="5">
          <cell r="B5" t="str">
            <v>18-20 años</v>
          </cell>
          <cell r="C5">
            <v>80</v>
          </cell>
          <cell r="E5">
            <v>34.04</v>
          </cell>
        </row>
        <row r="6">
          <cell r="B6" t="str">
            <v>21-23 años</v>
          </cell>
          <cell r="C6">
            <v>131</v>
          </cell>
          <cell r="E6">
            <v>55.74</v>
          </cell>
        </row>
        <row r="7">
          <cell r="B7" t="str">
            <v>24-26 años</v>
          </cell>
          <cell r="C7">
            <v>21</v>
          </cell>
          <cell r="E7">
            <v>8.94</v>
          </cell>
        </row>
        <row r="8">
          <cell r="B8" t="str">
            <v>27 años o más</v>
          </cell>
          <cell r="C8">
            <v>3</v>
          </cell>
          <cell r="E8">
            <v>1.28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CTIVO 4"/>
      <sheetName val="REACTIVO 5"/>
    </sheetNames>
    <sheetDataSet>
      <sheetData sheetId="0">
        <row r="4">
          <cell r="E4" t="str">
            <v>Porcentaje (%)</v>
          </cell>
        </row>
      </sheetData>
      <sheetData sheetId="1">
        <row r="4">
          <cell r="C4" t="str">
            <v>FA</v>
          </cell>
          <cell r="E4" t="str">
            <v>Porcentaje (%)</v>
          </cell>
        </row>
        <row r="5">
          <cell r="B5" t="str">
            <v>No, nunca</v>
          </cell>
          <cell r="C5">
            <v>46</v>
          </cell>
          <cell r="E5">
            <v>19.57</v>
          </cell>
        </row>
        <row r="6">
          <cell r="B6" t="str">
            <v>Sí, una vez</v>
          </cell>
          <cell r="C6">
            <v>84</v>
          </cell>
          <cell r="E6">
            <v>35.74</v>
          </cell>
        </row>
        <row r="7">
          <cell r="B7" t="str">
            <v>Sí, 2-3 veces</v>
          </cell>
          <cell r="C7">
            <v>67</v>
          </cell>
          <cell r="E7">
            <v>28.51</v>
          </cell>
        </row>
        <row r="8">
          <cell r="B8" t="str">
            <v>Sí, 4 o más veces</v>
          </cell>
          <cell r="C8">
            <v>38</v>
          </cell>
          <cell r="E8">
            <v>16.170000000000002</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Q236">
  <tableColumns count="17">
    <tableColumn id="1" xr3:uid="{00000000-0010-0000-0000-000001000000}" name="Marca temporal"/>
    <tableColumn id="2" xr3:uid="{00000000-0010-0000-0000-000002000000}" name="1. Semestre que cursas actualmente"/>
    <tableColumn id="3" xr3:uid="{00000000-0010-0000-0000-000003000000}" name="2. Sexo"/>
    <tableColumn id="4" xr3:uid="{00000000-0010-0000-0000-000004000000}" name="3. Edad"/>
    <tableColumn id="5" xr3:uid="{00000000-0010-0000-0000-000005000000}" name="4. Durante las últimas 4 semanas, ¿cuántas horas CONTINUAS has dedicado en promedio a programar en una sola sesión?"/>
    <tableColumn id="6" xr3:uid="{00000000-0010-0000-0000-000006000000}" name="5. Durante la carrera, ¿has trabajado en un proyecto de programación durante 3 o más días consecutivos?"/>
    <tableColumn id="7" xr3:uid="{00000000-0010-0000-0000-000007000000}" name="6. Durante sesiones prolongadas de programación, he olvidado la sintaxis de funciones o comandos que conozco bien."/>
    <tableColumn id="8" xr3:uid="{00000000-0010-0000-0000-000008000000}" name="7. He tenido que releer mi propio código varias veces para entender qué estaba haciendo."/>
    <tableColumn id="9" xr3:uid="{00000000-0010-0000-0000-000009000000}" name="8. Me ha costado identificar errores simples en el código que normalmente detectaría rápidamente."/>
    <tableColumn id="10" xr3:uid="{00000000-0010-0000-0000-00000A000000}" name="9. He perdido el hilo de lo que estaba programando y he tenido que empezar de nuevo."/>
    <tableColumn id="11" xr3:uid="{00000000-0010-0000-0000-00000B000000}" name="10. Me he sentido mentalmente agotado mientras intento resolver problemas de programación."/>
    <tableColumn id="12" xr3:uid="{00000000-0010-0000-0000-00000C000000}" name="11. He tenido dificultad para concentrarme en la lógica del programa después de varias horas de trabajo."/>
    <tableColumn id="13" xr3:uid="{00000000-0010-0000-0000-00000D000000}" name="12. He necesitado más tiempo del normal para resolver problemas de programación que considero sencillos."/>
    <tableColumn id="14" xr3:uid="{00000000-0010-0000-0000-00000E000000}" name="13. Durante o después de programar por periodos prolongados, he experimentado dolores de cabeza, fatiga visual o cansancio físico extremo."/>
    <tableColumn id="15" xr3:uid="{00000000-0010-0000-0000-00000F000000}" name="14. Me he sentido frustrado o ansioso al no poder resolver errores en el código después de varias horas intentándolo."/>
    <tableColumn id="16" xr3:uid="{00000000-0010-0000-0000-000010000000}" name="15. ¿Cómo abordas un problema cuando tu solución no te está llevando al resultado esperado?"/>
    <tableColumn id="17" xr3:uid="{00000000-0010-0000-0000-000011000000}" name="16. Si deseas, describe brevemente cómo te sientes después de una jornada larga de programación (8 horas o más)."/>
  </tableColumns>
  <tableStyleInfo name="Respuestas de formulario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0101231-B81E-4E74-AF47-6BBB102182E7}" name="Tabla23" displayName="Tabla23" ref="A1:B8" totalsRowShown="0" headerRowDxfId="163" dataDxfId="162">
  <autoFilter ref="A1:B8" xr:uid="{B0101231-B81E-4E74-AF47-6BBB102182E7}"/>
  <tableColumns count="2">
    <tableColumn id="1" xr3:uid="{213480E0-B761-44D9-8221-79013AE514A5}" name="OPCION" dataDxfId="161"/>
    <tableColumn id="2" xr3:uid="{9B90A5D1-68AF-46E6-93DE-30B81EEDEE1F}" name="N" dataDxfId="1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ED953A5-1ADA-46C2-ACA2-E556DB418D95}" name="Tabla26" displayName="Tabla26" ref="B10:O143" totalsRowShown="0" headerRowDxfId="159" dataDxfId="157" headerRowBorderDxfId="158" tableBorderDxfId="156">
  <autoFilter ref="B10:O143" xr:uid="{4ED953A5-1ADA-46C2-ACA2-E556DB418D95}"/>
  <tableColumns count="14">
    <tableColumn id="1" xr3:uid="{8F747699-7DA6-4349-A789-2B5E02924D23}" name="No." dataDxfId="155"/>
    <tableColumn id="2" xr3:uid="{B8001CB9-49EF-43AD-BBE8-AB78818FECB4}" name="R6" dataDxfId="154"/>
    <tableColumn id="3" xr3:uid="{1CC5F075-684F-4048-AE60-046AC7C0D9E1}" name="R7" dataDxfId="153"/>
    <tableColumn id="4" xr3:uid="{CAE8DBC3-4F22-40D8-A5EE-E8525C73443B}" name="R8" dataDxfId="152"/>
    <tableColumn id="5" xr3:uid="{F23BB62B-1A04-4427-969D-6FB14B0FC899}" name="R9" dataDxfId="151"/>
    <tableColumn id="6" xr3:uid="{6C1078E5-F198-4544-BC87-3B93292DF888}" name="R10" dataDxfId="150"/>
    <tableColumn id="7" xr3:uid="{2FF335FF-814E-4E8F-A57B-84E0449C1C5B}" name="R11" dataDxfId="149"/>
    <tableColumn id="8" xr3:uid="{29B93803-FEE6-4B12-ABD6-447F71494D71}" name="R12" dataDxfId="148"/>
    <tableColumn id="9" xr3:uid="{F391B5A3-41E9-4494-9369-DCD004557C07}" name="R13" dataDxfId="147"/>
    <tableColumn id="10" xr3:uid="{7ED013B3-03C8-4828-8AF8-7650EB35A579}" name="R14" dataDxfId="146"/>
    <tableColumn id="11" xr3:uid="{BD29E7EC-46B1-4F22-80C1-0BF2247819B6}" name="Promedio Xi" dataDxfId="145"/>
    <tableColumn id="12" xr3:uid="{4AD2E31B-7713-4CDB-B61B-C85C34C92DF8}" name="Xi-X̄" dataDxfId="144"/>
    <tableColumn id="13" xr3:uid="{668EC1BB-7DC3-47BA-9459-2D2CCA92F425}" name="(Xi-X̄)2" dataDxfId="143">
      <calculatedColumnFormula>Tabla26[[#This Row],[Xi-X̄]]^2</calculatedColumnFormula>
    </tableColumn>
    <tableColumn id="14" xr3:uid="{69C6B32C-D235-41F7-A6B3-5BFAC81C7F0A}" name="Columna1" dataDxfId="14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6D22476-6A59-4677-9B1A-BF9E32B51DC2}" name="Tabla27" displayName="Tabla27" ref="W16:AI57" totalsRowShown="0" headerRowDxfId="141" headerRowBorderDxfId="140" tableBorderDxfId="139">
  <autoFilter ref="W16:AI57" xr:uid="{36D22476-6A59-4677-9B1A-BF9E32B51DC2}"/>
  <tableColumns count="13">
    <tableColumn id="1" xr3:uid="{4CA4E4CD-DB45-4D51-BEA5-4817AEBFD342}" name="No."/>
    <tableColumn id="2" xr3:uid="{0DB3D2EE-2070-4056-A882-572BBF3E346F}" name="R6"/>
    <tableColumn id="3" xr3:uid="{E72566D1-5582-42B0-8892-C52AC297A9E3}" name="R7"/>
    <tableColumn id="4" xr3:uid="{72906121-133F-4210-9F9B-E360302D6B57}" name="R8"/>
    <tableColumn id="5" xr3:uid="{BED22EAE-367F-402C-8F7F-35C10A9F4ACC}" name="R9"/>
    <tableColumn id="6" xr3:uid="{206394C3-EEE2-4ED5-90A0-9A308BC607DD}" name="R10"/>
    <tableColumn id="7" xr3:uid="{7D982CCF-6BF7-4F31-8731-57BB4116905F}" name="R11"/>
    <tableColumn id="8" xr3:uid="{81227FD9-E869-40A1-B5A6-CF53875929DF}" name="R12"/>
    <tableColumn id="9" xr3:uid="{6F935268-BEBA-4838-9E38-367C5390A33C}" name="R13"/>
    <tableColumn id="10" xr3:uid="{7D9CD0CD-7FF6-44B7-9A98-61A6BC0C433C}" name="R14"/>
    <tableColumn id="11" xr3:uid="{F8414E9A-F9F6-4400-9B50-935D30738ABC}" name="Xi (promedio)" dataDxfId="138"/>
    <tableColumn id="12" xr3:uid="{5701E16E-4BFB-4ED7-AAB7-3BFA88DA7628}" name="Xi − X̄" dataDxfId="137"/>
    <tableColumn id="13" xr3:uid="{DCCA882B-7FD8-4C29-A9DD-484A92F54DE9}" name="(Xi − X̄)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E225F5-ADE1-41EF-BC17-C8B9A5006682}" name="Tabla5" displayName="Tabla5" ref="A1:D7" totalsRowShown="0" headerRowDxfId="136" dataDxfId="135">
  <autoFilter ref="A1:D7" xr:uid="{F2E225F5-ADE1-41EF-BC17-C8B9A5006682}"/>
  <tableColumns count="4">
    <tableColumn id="1" xr3:uid="{8CFFAB0B-CC52-42EC-9FD7-F3647420840F}" name="VALOR" dataDxfId="134"/>
    <tableColumn id="2" xr3:uid="{5FA8EE7C-6A73-4056-BE95-7ADE7E920F1D}" name="NÚMERO RESPONDIDOS" dataDxfId="133"/>
    <tableColumn id="3" xr3:uid="{1A43C19B-2014-4BCD-BF1D-5759F82CDD25}" name="MULTIPLICACION" dataDxfId="132">
      <calculatedColumnFormula xml:space="preserve"> A2*B2</calculatedColumnFormula>
    </tableColumn>
    <tableColumn id="4" xr3:uid="{C012AB0D-F507-4DBF-BAB5-4A27665CDAEE}" name="Porcentaje obtenido por respuesta " dataDxfId="131">
      <calculatedColumnFormula>B2/$B$7*100</calculatedColumnFormula>
    </tableColumn>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7440A0-1F27-4D2D-A698-17EB9E3523D1}" name="Tabla57" displayName="Tabla57" ref="A1:D7" totalsRowShown="0" headerRowDxfId="130" dataDxfId="129">
  <autoFilter ref="A1:D7" xr:uid="{F2E225F5-ADE1-41EF-BC17-C8B9A5006682}"/>
  <tableColumns count="4">
    <tableColumn id="1" xr3:uid="{44BED28B-F535-406F-A2B6-F8C4D2EA46B1}" name="VALOR" dataDxfId="128"/>
    <tableColumn id="2" xr3:uid="{765D64A1-FD81-49AE-BF76-2A408218F66A}" name="NÚMERO RESPONDIDOS" dataDxfId="127"/>
    <tableColumn id="3" xr3:uid="{1147BDA3-D41B-4576-836B-FCA976F43C6A}" name="MULTIPLICACION" dataDxfId="126">
      <calculatedColumnFormula xml:space="preserve"> A2*B2</calculatedColumnFormula>
    </tableColumn>
    <tableColumn id="4" xr3:uid="{B242D662-D2FD-4313-BB8A-FB89FFCA6370}" name="Porcentaje obtenido por respuesta " dataDxfId="125">
      <calculatedColumnFormula>B2/$B$7*100</calculatedColumnFormula>
    </tableColumn>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5FD2570-C675-4AF8-B540-8A997C52A51E}" name="Tabla578" displayName="Tabla578" ref="A1:D7" totalsRowShown="0" headerRowDxfId="124" dataDxfId="123">
  <autoFilter ref="A1:D7" xr:uid="{F2E225F5-ADE1-41EF-BC17-C8B9A5006682}"/>
  <tableColumns count="4">
    <tableColumn id="1" xr3:uid="{F672531D-B228-4C46-9F9A-469EE14D38F4}" name="VALOR" dataDxfId="122"/>
    <tableColumn id="2" xr3:uid="{DFF0749D-7A34-4F5F-A500-48A4A2466EE7}" name="NÚMERO RESPONDIDOS" dataDxfId="121"/>
    <tableColumn id="3" xr3:uid="{A6FA5527-0F4C-408E-BFB7-E7DC93E76013}" name="MULTIPLICACION" dataDxfId="120">
      <calculatedColumnFormula xml:space="preserve"> A2*B2</calculatedColumnFormula>
    </tableColumn>
    <tableColumn id="4" xr3:uid="{F1EAC6DF-E0D9-4162-B558-F6F4FFF85B2B}" name="Porcentaje obtenido por respuesta " dataDxfId="119">
      <calculatedColumnFormula>B2/$B$7*100</calculatedColumnFormula>
    </tableColumn>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85680F9-2DC5-4A89-96DC-89CB7A79F6C6}" name="Tabla5789" displayName="Tabla5789" ref="A1:D7" totalsRowShown="0" headerRowDxfId="118" dataDxfId="117">
  <autoFilter ref="A1:D7" xr:uid="{F2E225F5-ADE1-41EF-BC17-C8B9A5006682}"/>
  <tableColumns count="4">
    <tableColumn id="1" xr3:uid="{BAAF2C4A-FF0B-4532-99B5-0C69062641BB}" name="VALOR" dataDxfId="116"/>
    <tableColumn id="2" xr3:uid="{833F7DB9-06C1-4732-A28C-F6A5D418CB60}" name="NÚMERO RESPONDIDOS" dataDxfId="115"/>
    <tableColumn id="3" xr3:uid="{5E2DD323-0794-469F-AE0E-5C31C68EC01D}" name="MULTIPLICACION" dataDxfId="114">
      <calculatedColumnFormula xml:space="preserve"> A2*B2</calculatedColumnFormula>
    </tableColumn>
    <tableColumn id="4" xr3:uid="{F826344D-4535-4609-B8FD-F017FCD1FA1D}" name="Porcentaje obtenido por respuesta " dataDxfId="113">
      <calculatedColumnFormula>B2/$B$7*100</calculatedColumnFormula>
    </tableColumn>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134B102-B916-4AE6-9836-FEF1C7704AB2}" name="Tabla578910" displayName="Tabla578910" ref="A1:D7" totalsRowShown="0" headerRowDxfId="112" dataDxfId="111">
  <autoFilter ref="A1:D7" xr:uid="{F2E225F5-ADE1-41EF-BC17-C8B9A5006682}"/>
  <tableColumns count="4">
    <tableColumn id="1" xr3:uid="{77DE9CDA-09F2-4543-A858-8F2700D0D213}" name="VALOR" dataDxfId="110"/>
    <tableColumn id="2" xr3:uid="{C0DB4533-3029-47CE-BF25-2FE571078B96}" name="NÚMERO RESPONDIDOS" dataDxfId="109"/>
    <tableColumn id="3" xr3:uid="{65F73D9E-F53D-4003-9707-BDA3330B8988}" name="MULTIPLICACION" dataDxfId="108">
      <calculatedColumnFormula xml:space="preserve"> A2*B2</calculatedColumnFormula>
    </tableColumn>
    <tableColumn id="4" xr3:uid="{DA5BCF8D-22BD-4577-9179-5D450D9E0BD8}" name="Porcentaje obtenido por respuesta " dataDxfId="107">
      <calculatedColumnFormula>B2/$B$7*100</calculatedColumnFormula>
    </tableColumn>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5C7D76C-86A7-4419-9B2B-7BFCEE71B5A8}" name="Tabla57891011" displayName="Tabla57891011" ref="A1:E7" totalsRowShown="0" headerRowDxfId="106" dataDxfId="105">
  <autoFilter ref="A1:E7" xr:uid="{F2E225F5-ADE1-41EF-BC17-C8B9A5006682}"/>
  <tableColumns count="5">
    <tableColumn id="1" xr3:uid="{9089D86F-9DCE-461E-8DF9-74C9A8A999B7}" name="VALOR" dataDxfId="104"/>
    <tableColumn id="2" xr3:uid="{DAF769E9-22E0-41E1-9B0A-399BBD0F03F1}" name="NÚMERO RESPONDIDOS" dataDxfId="103"/>
    <tableColumn id="3" xr3:uid="{BE5CBCCC-A1AF-40F9-8874-FC1434654434}" name="MULTIPLICACION" dataDxfId="102">
      <calculatedColumnFormula xml:space="preserve"> A2*B2</calculatedColumnFormula>
    </tableColumn>
    <tableColumn id="4" xr3:uid="{4EF06231-A7AA-4B9E-9D5B-6448379E85E5}" name="Porcentaje obtenido por respuesta " dataDxfId="101">
      <calculatedColumnFormula>B2/$B$7*100</calculatedColumnFormula>
    </tableColumn>
    <tableColumn id="5" xr3:uid="{701DAB01-32C6-479B-91A4-18ECB8DB41A5}" name="VALOR DEFINICION" dataDxfId="100"/>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5AEBEF0-E805-4E28-91FC-9FA38C516528}" name="Tabla5789101112" displayName="Tabla5789101112" ref="A1:D7" totalsRowShown="0" headerRowDxfId="99" dataDxfId="98">
  <autoFilter ref="A1:D7" xr:uid="{F2E225F5-ADE1-41EF-BC17-C8B9A5006682}"/>
  <tableColumns count="4">
    <tableColumn id="1" xr3:uid="{9FC48789-0B04-43BB-A62B-0A6892ABEB3D}" name="VALOR" dataDxfId="97"/>
    <tableColumn id="2" xr3:uid="{37FA887E-113B-4BF9-ACCE-C304848B3A9A}" name="NÚMERO RESPONDIDOS" dataDxfId="96"/>
    <tableColumn id="3" xr3:uid="{18792439-0C02-41A2-8304-612BB3E76C86}" name="MULTIPLICACION" dataDxfId="95">
      <calculatedColumnFormula xml:space="preserve"> A2*B2</calculatedColumnFormula>
    </tableColumn>
    <tableColumn id="4" xr3:uid="{194B0A91-2B45-4877-8578-FB53F60409DE}" name="Porcentaje obtenido por respuesta " dataDxfId="94">
      <calculatedColumnFormula>B2/$B$7*100</calculatedColumnFormula>
    </tableColumn>
  </tableColumns>
  <tableStyleInfo name="TableStyleLight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E1A2489-AEB8-4153-A4AE-BD4351241F46}" name="Tabla578910111213" displayName="Tabla578910111213" ref="A1:D7" totalsRowShown="0" headerRowDxfId="93" dataDxfId="92">
  <autoFilter ref="A1:D7" xr:uid="{F2E225F5-ADE1-41EF-BC17-C8B9A5006682}"/>
  <tableColumns count="4">
    <tableColumn id="1" xr3:uid="{C03693C5-0612-409B-B9B7-ACE3B9F5F94D}" name="VALOR" dataDxfId="91"/>
    <tableColumn id="2" xr3:uid="{5B2F7979-86E5-476A-AB36-589C10868F47}" name="NÚMERO RESPONDIDOS" dataDxfId="90"/>
    <tableColumn id="3" xr3:uid="{7B8454EF-DF01-4EFA-B0BF-3356F8EC92AD}" name="MULTIPLICACION" dataDxfId="89">
      <calculatedColumnFormula xml:space="preserve"> A2*B2</calculatedColumnFormula>
    </tableColumn>
    <tableColumn id="4" xr3:uid="{5A3BBA3D-D2F7-489A-B721-B90391678EC0}" name="Porcentaje obtenido por respuesta " dataDxfId="88">
      <calculatedColumnFormula>B2/$B$7*100</calculatedColumnFormula>
    </tableColumn>
  </tableColumns>
  <tableStyleInfo name="TableStyleLight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876354B-A8F8-4ACE-8FAD-A8145AF8D9C5}" name="Tabla57891011121314" displayName="Tabla57891011121314" ref="A1:D7" totalsRowShown="0" headerRowDxfId="87" dataDxfId="86">
  <autoFilter ref="A1:D7" xr:uid="{F2E225F5-ADE1-41EF-BC17-C8B9A5006682}"/>
  <tableColumns count="4">
    <tableColumn id="1" xr3:uid="{ACBCD329-8F80-4A9B-8794-4C78E9C45EC2}" name="VALOR" dataDxfId="85"/>
    <tableColumn id="2" xr3:uid="{63FDB42B-9545-4011-AB16-239AB7E7AB4C}" name="NÚMERO RESPONDIDOS" dataDxfId="84"/>
    <tableColumn id="3" xr3:uid="{C41FAF6A-8BFD-4650-A715-6165B11E453D}" name="MULTIPLICACION" dataDxfId="83">
      <calculatedColumnFormula xml:space="preserve"> A2*B2</calculatedColumnFormula>
    </tableColumn>
    <tableColumn id="4" xr3:uid="{F67F291F-C3D6-4EB0-897D-73F022773102}" name="Porcentaje obtenido por respuesta " dataDxfId="82">
      <calculatedColumnFormula>B2/$B$7*100</calculatedColumnFormula>
    </tableColumn>
  </tableColumns>
  <tableStyleInfo name="TableStyleLight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DC8464-7994-43F5-93A7-648DF370C077}" name="Tabla2" displayName="Tabla2" ref="A1:E10" totalsRowShown="0" headerRowDxfId="81" dataDxfId="80">
  <autoFilter ref="A1:E10" xr:uid="{ADDC8464-7994-43F5-93A7-648DF370C077}"/>
  <tableColumns count="5">
    <tableColumn id="3" xr3:uid="{C4ADB3A8-8C00-4EF0-A1F9-B95640A09768}" name="No." dataDxfId="79"/>
    <tableColumn id="1" xr3:uid="{0D43633D-5A79-487D-B87B-D510E9736C40}" name="Categoría" dataDxfId="78"/>
    <tableColumn id="2" xr3:uid="{B8A7D4B2-0FEB-4912-B778-1C8B6B9C8A6F}" name="Frecuencia absoluta" dataDxfId="77"/>
    <tableColumn id="5" xr3:uid="{9C16029C-2AAF-4F6C-B766-A1F9BDF26D66}" name="Porcentaje" dataDxfId="76">
      <calculatedColumnFormula>C2/$C$10*100</calculatedColumnFormula>
    </tableColumn>
    <tableColumn id="4" xr3:uid="{80927DF9-42BE-469E-8C91-C18033466DD0}" name="Frecuencia relativa" dataDxfId="75">
      <calculatedColumnFormula>Tabla2[[#This Row],[Frecuencia absoluta]]/235</calculatedColumnFormula>
    </tableColumn>
  </tableColumns>
  <tableStyleInfo name="TableStyleLight1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9C1FC45-7345-4FCB-8605-64C8279BC442}" name="Tabla216" displayName="Tabla216" ref="A1:E9" totalsRowShown="0" headerRowDxfId="74" dataDxfId="73">
  <autoFilter ref="A1:E9" xr:uid="{39C1FC45-7345-4FCB-8605-64C8279BC442}"/>
  <tableColumns count="5">
    <tableColumn id="3" xr3:uid="{C4368EAC-F176-40AB-BFB7-6BF4B5BF10B2}" name="No" dataDxfId="72"/>
    <tableColumn id="1" xr3:uid="{B6B2CBE9-EF36-4FCA-86EB-5BD5E5D5E57E}" name="Grupo/Categoría" dataDxfId="71"/>
    <tableColumn id="2" xr3:uid="{7D5EA62F-8FA2-4B09-BA2D-CC4EE24BA314}" name="Frecuencia" dataDxfId="70"/>
    <tableColumn id="4" xr3:uid="{8E8AD0F7-5D4F-447B-83A6-B079502D62E3}" name="Porcentaje" dataDxfId="69">
      <calculatedColumnFormula>C2/$C$9*100</calculatedColumnFormula>
    </tableColumn>
    <tableColumn id="5" xr3:uid="{304C0710-7E8A-4740-BE71-6BF0727925A2}" name="Frecuencia relativa" dataDxfId="68">
      <calculatedColumnFormula>Tabla216[[#This Row],[Frecuencia]]/152</calculatedColumnFormula>
    </tableColumn>
  </tableColumns>
  <tableStyleInfo name="TableStyleLight1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A8B46B-FB69-48D9-9647-37A5C73FEB37}" name="Tabla3" displayName="Tabla3" ref="A1:I10" totalsRowShown="0" headerRowDxfId="67" dataDxfId="65" headerRowBorderDxfId="66" tableBorderDxfId="64" totalsRowBorderDxfId="63">
  <autoFilter ref="A1:I10" xr:uid="{66A8B46B-FB69-48D9-9647-37A5C73FEB37}"/>
  <tableColumns count="9">
    <tableColumn id="1" xr3:uid="{AE659042-F0DA-4AAD-A33E-16A1A86C4A87}" name="REACTIVO" dataDxfId="62"/>
    <tableColumn id="9" xr3:uid="{8558B15C-9AAD-4962-A0BF-E8B3A8719AC1}" name="EFECTO" dataDxfId="61"/>
    <tableColumn id="2" xr3:uid="{E3882657-BF05-4DF6-A8D4-5E5309F5A653}" name="MEDIA" dataDxfId="60"/>
    <tableColumn id="3" xr3:uid="{DF4C308A-D126-43A7-BADD-1BC85BCBCFC2}" name="MEDIANA" dataDxfId="59"/>
    <tableColumn id="4" xr3:uid="{15F9BBB0-A6FC-436B-A67D-7F50124158FF}" name="MODA" dataDxfId="58"/>
    <tableColumn id="5" xr3:uid="{263488FA-1324-4466-9DFF-783459B43C65}" name="VARIANZA" dataDxfId="57"/>
    <tableColumn id="6" xr3:uid="{146D82A3-94C5-4397-8691-5A011268F1DA}" name="DESVIACION ESTANDAR" dataDxfId="56"/>
    <tableColumn id="7" xr3:uid="{6DA90873-86A4-427D-A345-118F43D51F74}" name="RANGO" dataDxfId="55"/>
    <tableColumn id="8" xr3:uid="{1E94CCDD-5B33-4228-926C-C11CE25A347F}" name="COFICIENTE DE VARIACION" dataDxfId="54"/>
  </tableColumns>
  <tableStyleInfo name="TableStyleMedium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A269F0-0891-49CC-8FFD-63E82F57184B}" name="Tabla4" displayName="Tabla4" ref="A2:G8" totalsRowShown="0" headerRowDxfId="53" dataDxfId="52">
  <autoFilter ref="A2:G8" xr:uid="{6CA269F0-0891-49CC-8FFD-63E82F57184B}"/>
  <tableColumns count="7">
    <tableColumn id="1" xr3:uid="{24CE0E69-363A-460B-928F-135B7DF20450}" name="VALOR" dataDxfId="51"/>
    <tableColumn id="2" xr3:uid="{F1F52E8E-FBB5-4F97-A57F-E86B40209B45}" name="ETIQUETA" dataDxfId="50"/>
    <tableColumn id="3" xr3:uid="{ACAB1BD9-7B58-424D-A4B9-1277BC1DA150}" name="FRECUENCIA ABSOLUTA" dataDxfId="49"/>
    <tableColumn id="4" xr3:uid="{982568AD-38D4-4AA2-862B-C74506CC3569}" name="FRECUENCIA RELATIVA" dataDxfId="48">
      <calculatedColumnFormula>C3/$C$8</calculatedColumnFormula>
    </tableColumn>
    <tableColumn id="5" xr3:uid="{7ACBF38C-DBEC-463A-843A-F1119D0B0397}" name="PORCENTAJE" dataDxfId="47">
      <calculatedColumnFormula>C3/235*100</calculatedColumnFormula>
    </tableColumn>
    <tableColumn id="6" xr3:uid="{D80BAAFB-96D9-48DE-B097-8E6BCF510C01}" name="FA(FRECUENCIA ACUMULADA)" dataDxfId="46"/>
    <tableColumn id="7" xr3:uid="{F5035889-E664-4B7C-999E-298C4A40A62B}" name="% ACUMULADO" dataDxfId="45">
      <calculatedColumnFormula>F3/$C$8*100</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6C04779-9149-45E9-9411-53A6F411465D}" name="Tabla14" displayName="Tabla14" ref="A15:G21" totalsRowShown="0" headerRowDxfId="44" dataDxfId="43" tableBorderDxfId="42">
  <autoFilter ref="A15:G21" xr:uid="{C6C04779-9149-45E9-9411-53A6F411465D}"/>
  <tableColumns count="7">
    <tableColumn id="1" xr3:uid="{F8B45AB9-8C33-465F-B4D8-0BFA172CDECC}" name="VALOR" dataDxfId="41"/>
    <tableColumn id="2" xr3:uid="{180B33D3-9E03-4941-94BA-297F80DF7AD1}" name="ETIQUETA" dataDxfId="40"/>
    <tableColumn id="3" xr3:uid="{0E49F3D2-0789-4CAB-AF1D-C47FEF2E69FA}" name="FRECUENCIA ABSOLUTA" dataDxfId="39"/>
    <tableColumn id="4" xr3:uid="{7D3946BC-270C-4BA8-A050-122E04F05F08}" name="FRECUENCIA RELATIVA" dataDxfId="38"/>
    <tableColumn id="5" xr3:uid="{A9F8DAF6-0C95-4DAE-B808-48A5B616B68F}" name="PORCENTAJE" dataDxfId="37"/>
    <tableColumn id="6" xr3:uid="{8EFEBF22-36CD-4E35-BBCE-4BDC6F383C93}" name="FA(FRECUENCIA ACUMULADA)" dataDxfId="36"/>
    <tableColumn id="7" xr3:uid="{C485E64B-EED4-456E-82E2-3EB6A7290508}" name="% ACUMULADO" dataDxfId="35">
      <calculatedColumnFormula>F16/$C$8*100</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76E4882-15D6-4588-9FD3-B145700E0E4C}" name="Tabla16" displayName="Tabla16" ref="A28:G34" totalsRowShown="0" headerRowDxfId="34" dataDxfId="33">
  <autoFilter ref="A28:G34" xr:uid="{276E4882-15D6-4588-9FD3-B145700E0E4C}"/>
  <tableColumns count="7">
    <tableColumn id="1" xr3:uid="{36661FD4-8648-4D00-B9AE-4FA6C7E5077B}" name="VALOR" dataDxfId="32"/>
    <tableColumn id="2" xr3:uid="{C8131225-7A6C-46A0-932F-613E558A6941}" name="ETIQUETA" dataDxfId="31"/>
    <tableColumn id="3" xr3:uid="{57A9E6FE-756F-41F7-95AF-68745D062D04}" name="FRECUENCIA ABSOLUTA" dataDxfId="30"/>
    <tableColumn id="4" xr3:uid="{162008AC-5174-4C22-A04F-72BB6FB654D1}" name="FRECUENCIA RELATIVA" dataDxfId="29"/>
    <tableColumn id="5" xr3:uid="{DC672704-329B-4F92-B513-690A5DC85AA7}" name="PORCENTAJE" dataDxfId="28"/>
    <tableColumn id="6" xr3:uid="{027F1109-01C2-47A1-BD19-A587707547A8}" name="FA(FRECUENCIA ACUMULADA)" dataDxfId="27"/>
    <tableColumn id="7" xr3:uid="{60E4913F-F9CF-4FE6-95FF-8C7C3B33BD39}" name="% ACUMULADO" dataDxfId="26">
      <calculatedColumnFormula>F29/$C$8*100</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51F8A82-FAB5-44B0-A979-64AE7AA03E2B}" name="Tabla17" displayName="Tabla17" ref="A41:G47" totalsRowShown="0" headerRowDxfId="25" dataDxfId="24">
  <autoFilter ref="A41:G47" xr:uid="{D51F8A82-FAB5-44B0-A979-64AE7AA03E2B}"/>
  <tableColumns count="7">
    <tableColumn id="1" xr3:uid="{8B8AFAC4-9403-4745-8489-7BF8A093BE6A}" name="VALOR" dataDxfId="23"/>
    <tableColumn id="2" xr3:uid="{6E9214DC-A2DA-44A1-B4CF-457ABFAF4450}" name="ETIQUETA" dataDxfId="22"/>
    <tableColumn id="3" xr3:uid="{F10BC7A4-8CA2-45D6-A4D4-6FDC4403B544}" name="FRECUENCIA ABSOLUTA" dataDxfId="21"/>
    <tableColumn id="4" xr3:uid="{C8EB48FA-E43F-4935-B31F-11C4A09FCE3C}" name="FRECUENCIA RELATIVA" dataDxfId="20"/>
    <tableColumn id="5" xr3:uid="{66A056BF-BF0D-4F7B-982B-47841BEA3C67}" name="PORCENTAJE" dataDxfId="19"/>
    <tableColumn id="6" xr3:uid="{CE85A9C7-3F42-428F-BA18-AACE054A818C}" name="FA(FRECUENCIA ACUMULADA)" dataDxfId="18"/>
    <tableColumn id="7" xr3:uid="{EE4EFA0B-0BD0-4743-8B65-F28D09AEB315}" name="% ACUMULADO" dataDxfId="17">
      <calculatedColumnFormula>F42/$C$8*100</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6B48A0B-B8DE-48B8-923A-C230B238965A}" name="Tabla18" displayName="Tabla18" ref="A53:G59" totalsRowShown="0" headerRowDxfId="16" dataDxfId="15" tableBorderDxfId="14">
  <autoFilter ref="A53:G59" xr:uid="{96B48A0B-B8DE-48B8-923A-C230B238965A}"/>
  <tableColumns count="7">
    <tableColumn id="1" xr3:uid="{37A87335-6859-4603-8017-830785BB059E}" name="VALOR" dataDxfId="13"/>
    <tableColumn id="2" xr3:uid="{A94EDA20-5459-453D-A75A-9F7D95A6EA99}" name="ETIQUETA" dataDxfId="12"/>
    <tableColumn id="3" xr3:uid="{980401E6-9297-44BE-9BA9-E4A6B941D1F7}" name="FRECUENCIA ABSOLUTA"/>
    <tableColumn id="4" xr3:uid="{51D04DC2-5D4C-4568-BDDF-ADF0374357DF}" name="FRECUENCIA RELATIVA" dataDxfId="11"/>
    <tableColumn id="5" xr3:uid="{24F2515D-26A3-4763-8A01-9C76DB05B0C6}" name="PORCENTAJE" dataDxfId="10"/>
    <tableColumn id="6" xr3:uid="{A8A0B45D-2E05-4BE6-BFE5-AB90B10CD697}" name="FA(FRECUENCIA ACUMULADA)" dataDxfId="9"/>
    <tableColumn id="7" xr3:uid="{CDD7B71F-5B38-4F40-895F-BE997796AA09}" name="% ACUMULADO" dataDxfId="8">
      <calculatedColumnFormula>F54/$C$8*100</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0CEBC73-D2DD-44F6-84B2-6E0A0CA6A553}" name="Tabla19" displayName="Tabla19" ref="A67:G73" totalsRowShown="0" headerRowDxfId="7" tableBorderDxfId="6">
  <autoFilter ref="A67:G73" xr:uid="{70CEBC73-D2DD-44F6-84B2-6E0A0CA6A553}"/>
  <tableColumns count="7">
    <tableColumn id="1" xr3:uid="{8C8DE04F-D3E5-47F7-AEFA-9C04D8DBACA6}" name="VALOR"/>
    <tableColumn id="2" xr3:uid="{A281A1E6-F26A-4399-A78C-50C450C76555}" name="ETIQUETA"/>
    <tableColumn id="3" xr3:uid="{4440C151-815D-4F1A-8D83-7F32DBF2A948}" name="FRECUENCIA ABSOLUTA"/>
    <tableColumn id="4" xr3:uid="{11F8B5E5-B42E-4B93-982A-97DD0F69A884}" name="FRECUENCIA RELATIVA"/>
    <tableColumn id="5" xr3:uid="{86C66469-8C21-4209-A4FE-B0DEDFB1F5BD}" name="PORCENTAJE"/>
    <tableColumn id="6" xr3:uid="{4801B576-9F9B-4182-A443-C22A1DB84EE1}" name="FA(FRECUENCIA ACUMULADA)"/>
    <tableColumn id="7" xr3:uid="{86CBBDF9-7AB9-42E7-A284-6E410463168C}" name="% ACUMULADO">
      <calculatedColumnFormula>F68/$C$8*100</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CAEB1DA-B2FD-470E-A916-5F220C1B8043}" name="Tabla20" displayName="Tabla20" ref="A78:G84" totalsRowShown="0" headerRowDxfId="5" tableBorderDxfId="4">
  <autoFilter ref="A78:G84" xr:uid="{2CAEB1DA-B2FD-470E-A916-5F220C1B8043}"/>
  <tableColumns count="7">
    <tableColumn id="1" xr3:uid="{2470BBC0-71FC-40B0-85F9-32A82837F4AC}" name="VALOR"/>
    <tableColumn id="2" xr3:uid="{5960F673-72CA-4029-86AA-268AF2581E38}" name="ETIQUETA"/>
    <tableColumn id="3" xr3:uid="{DB379951-A4B0-43B9-AC3B-710715A62B8F}" name="FRECUENCIA ABSOLUTA"/>
    <tableColumn id="4" xr3:uid="{22E35514-3DD9-4185-8D91-21272A1C1E35}" name="FRECUENCIA RELATIVA"/>
    <tableColumn id="5" xr3:uid="{5C7D5E74-4F91-4429-8896-A4135F67FF3B}" name="PORCENTAJE"/>
    <tableColumn id="6" xr3:uid="{A8A9F67B-26DC-4E4F-919F-4B66A672FB33}" name="FA(FRECUENCIA ACUMULADA)"/>
    <tableColumn id="7" xr3:uid="{063F36E2-0E8B-4938-A600-38AA7BC2F149}" name="% ACUMULADO">
      <calculatedColumnFormula>F79/$C$8*100</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751F71B-1C35-4B2A-9D29-C180FAC42EAE}" name="Tabla21" displayName="Tabla21" ref="A89:G95" totalsRowShown="0" headerRowDxfId="3" tableBorderDxfId="2">
  <autoFilter ref="A89:G95" xr:uid="{C751F71B-1C35-4B2A-9D29-C180FAC42EAE}"/>
  <tableColumns count="7">
    <tableColumn id="1" xr3:uid="{A780C8A2-5C6E-4E4D-9568-81A312B2839F}" name="VALOR"/>
    <tableColumn id="2" xr3:uid="{33778D46-2F0C-4A30-9CC8-E51AF70328E1}" name="ETIQUETA"/>
    <tableColumn id="3" xr3:uid="{D72D2045-48B5-41F1-9CDC-DCB4EDCDEBA3}" name="FRECUENCIA ABSOLUTA"/>
    <tableColumn id="4" xr3:uid="{123FB6BD-B0A7-4D4D-8A25-C5CD859ADA7D}" name="FRECUENCIA RELATIVA"/>
    <tableColumn id="5" xr3:uid="{8C143B45-A5BD-4B23-87C5-3550CFE78E64}" name="PORCENTAJE"/>
    <tableColumn id="6" xr3:uid="{6A6579F2-3AD2-40A7-AAAC-F87C3173E60D}" name="FA(FRECUENCIA ACUMULADA)"/>
    <tableColumn id="7" xr3:uid="{3F05C876-0C0F-456A-94DC-842C2C9A1A26}" name="% ACUMULADO">
      <calculatedColumnFormula>F90/$C$8*100</calculatedColumnFormula>
    </tableColum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F61585E-7F33-4286-8439-D9C7585FD5BF}" name="Tabla22" displayName="Tabla22" ref="A100:G106" totalsRowShown="0" headerRowDxfId="1" tableBorderDxfId="0">
  <autoFilter ref="A100:G106" xr:uid="{7F61585E-7F33-4286-8439-D9C7585FD5BF}"/>
  <tableColumns count="7">
    <tableColumn id="1" xr3:uid="{030EFA24-5C6D-403E-AA92-6847DCA7BA68}" name="VALOR"/>
    <tableColumn id="2" xr3:uid="{1B99A295-5439-4005-8433-F375CC749493}" name="ETIQUETA"/>
    <tableColumn id="3" xr3:uid="{1EC42C57-E992-4CFE-B86A-D39DC8C4557C}" name="FRECUENCIA ABSOLUTA"/>
    <tableColumn id="4" xr3:uid="{40CA1D81-B5AE-42C7-A99B-E925106ABD65}" name="FRECUENCIA RELATIVA"/>
    <tableColumn id="5" xr3:uid="{4DAC806A-6069-40D7-A97E-6254ADD4883D}" name="PORCENTAJE"/>
    <tableColumn id="6" xr3:uid="{6E5C53EA-53B0-43CF-9F70-95829824E664}" name="FA(FRECUENCIA ACUMULADA)"/>
    <tableColumn id="7" xr3:uid="{7823F65B-9344-4064-8612-A06FBACFDF73}" name="% ACUMULADO">
      <calculatedColumnFormula>F101/$C$8*100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drawing" Target="../drawings/drawing9.xml"/><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47D7-2995-4C07-AE8B-6C1439A76719}">
  <dimension ref="A1"/>
  <sheetViews>
    <sheetView workbookViewId="0"/>
  </sheetViews>
  <sheetFormatPr baseColWidth="10" defaultRowHeight="12.7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outlinePr summaryBelow="0" summaryRight="0"/>
  </sheetPr>
  <dimension ref="A1:Q236"/>
  <sheetViews>
    <sheetView workbookViewId="0">
      <pane ySplit="1" topLeftCell="A224" activePane="bottomLeft" state="frozen"/>
      <selection pane="bottomLeft" activeCell="P234" sqref="P234"/>
    </sheetView>
  </sheetViews>
  <sheetFormatPr baseColWidth="10" defaultColWidth="12.5703125" defaultRowHeight="15.75" customHeight="1" x14ac:dyDescent="0.2"/>
  <cols>
    <col min="1" max="1" width="18.85546875" customWidth="1"/>
    <col min="2" max="2" width="33.42578125" customWidth="1"/>
    <col min="3" max="4" width="18.85546875" customWidth="1"/>
    <col min="5" max="17" width="37.5703125" customWidth="1"/>
    <col min="18" max="23" width="18.85546875" customWidth="1"/>
  </cols>
  <sheetData>
    <row r="1" spans="1:17" ht="22.5" customHeight="1"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22.5" customHeight="1" x14ac:dyDescent="0.2">
      <c r="A2" s="3">
        <v>46082.67266575231</v>
      </c>
      <c r="B2" s="4" t="s">
        <v>17</v>
      </c>
      <c r="C2" s="4" t="s">
        <v>18</v>
      </c>
      <c r="D2" s="4" t="s">
        <v>19</v>
      </c>
      <c r="E2" s="4" t="s">
        <v>20</v>
      </c>
      <c r="F2" s="4" t="s">
        <v>21</v>
      </c>
      <c r="G2" s="4" t="s">
        <v>22</v>
      </c>
      <c r="H2" s="4" t="s">
        <v>23</v>
      </c>
      <c r="I2" s="4" t="s">
        <v>22</v>
      </c>
      <c r="J2" s="4" t="s">
        <v>24</v>
      </c>
      <c r="K2" s="4" t="s">
        <v>22</v>
      </c>
      <c r="L2" s="4" t="s">
        <v>23</v>
      </c>
      <c r="M2" s="4" t="s">
        <v>22</v>
      </c>
      <c r="N2" s="4" t="s">
        <v>23</v>
      </c>
      <c r="O2" s="4" t="s">
        <v>22</v>
      </c>
      <c r="P2" s="4" t="s">
        <v>25</v>
      </c>
      <c r="Q2" s="4" t="s">
        <v>26</v>
      </c>
    </row>
    <row r="3" spans="1:17" ht="22.5" customHeight="1" x14ac:dyDescent="0.2">
      <c r="A3" s="3">
        <v>46082.682137071759</v>
      </c>
      <c r="B3" s="4" t="s">
        <v>17</v>
      </c>
      <c r="C3" s="4" t="s">
        <v>18</v>
      </c>
      <c r="D3" s="4" t="s">
        <v>27</v>
      </c>
      <c r="E3" s="4" t="s">
        <v>28</v>
      </c>
      <c r="F3" s="4" t="s">
        <v>29</v>
      </c>
      <c r="G3" s="4" t="s">
        <v>24</v>
      </c>
      <c r="H3" s="4" t="s">
        <v>24</v>
      </c>
      <c r="I3" s="4" t="s">
        <v>24</v>
      </c>
      <c r="J3" s="4" t="s">
        <v>30</v>
      </c>
      <c r="K3" s="4" t="s">
        <v>24</v>
      </c>
      <c r="L3" s="4" t="s">
        <v>24</v>
      </c>
      <c r="M3" s="4" t="s">
        <v>24</v>
      </c>
      <c r="N3" s="4" t="s">
        <v>31</v>
      </c>
      <c r="O3" s="4" t="s">
        <v>22</v>
      </c>
      <c r="P3" s="4" t="s">
        <v>32</v>
      </c>
      <c r="Q3" s="4" t="s">
        <v>33</v>
      </c>
    </row>
    <row r="4" spans="1:17" ht="22.5" customHeight="1" x14ac:dyDescent="0.2">
      <c r="A4" s="3">
        <v>46082.686932187498</v>
      </c>
      <c r="B4" s="4" t="s">
        <v>17</v>
      </c>
      <c r="C4" s="4" t="s">
        <v>18</v>
      </c>
      <c r="D4" s="4" t="s">
        <v>19</v>
      </c>
      <c r="E4" s="4" t="s">
        <v>28</v>
      </c>
      <c r="F4" s="4" t="s">
        <v>21</v>
      </c>
      <c r="G4" s="4" t="s">
        <v>30</v>
      </c>
      <c r="H4" s="4" t="s">
        <v>24</v>
      </c>
      <c r="I4" s="4" t="s">
        <v>24</v>
      </c>
      <c r="J4" s="4" t="s">
        <v>30</v>
      </c>
      <c r="K4" s="4" t="s">
        <v>22</v>
      </c>
      <c r="L4" s="4" t="s">
        <v>24</v>
      </c>
      <c r="M4" s="4" t="s">
        <v>24</v>
      </c>
      <c r="N4" s="4" t="s">
        <v>24</v>
      </c>
      <c r="O4" s="4" t="s">
        <v>22</v>
      </c>
      <c r="P4" s="4" t="s">
        <v>34</v>
      </c>
      <c r="Q4" s="4" t="s">
        <v>35</v>
      </c>
    </row>
    <row r="5" spans="1:17" ht="22.5" customHeight="1" x14ac:dyDescent="0.2">
      <c r="A5" s="3">
        <v>46082.708482511574</v>
      </c>
      <c r="B5" s="4" t="s">
        <v>17</v>
      </c>
      <c r="C5" s="4" t="s">
        <v>18</v>
      </c>
      <c r="D5" s="4" t="s">
        <v>19</v>
      </c>
      <c r="E5" s="4" t="s">
        <v>36</v>
      </c>
      <c r="F5" s="4" t="s">
        <v>29</v>
      </c>
      <c r="G5" s="4" t="s">
        <v>24</v>
      </c>
      <c r="H5" s="4" t="s">
        <v>30</v>
      </c>
      <c r="I5" s="4" t="s">
        <v>24</v>
      </c>
      <c r="J5" s="4" t="s">
        <v>31</v>
      </c>
      <c r="K5" s="4" t="s">
        <v>30</v>
      </c>
      <c r="L5" s="4" t="s">
        <v>24</v>
      </c>
      <c r="M5" s="4" t="s">
        <v>24</v>
      </c>
      <c r="N5" s="4" t="s">
        <v>23</v>
      </c>
      <c r="O5" s="4" t="s">
        <v>23</v>
      </c>
      <c r="P5" s="4" t="s">
        <v>37</v>
      </c>
      <c r="Q5" s="4" t="s">
        <v>38</v>
      </c>
    </row>
    <row r="6" spans="1:17" ht="22.5" customHeight="1" x14ac:dyDescent="0.2">
      <c r="A6" s="3">
        <v>46082.812805983791</v>
      </c>
      <c r="B6" s="4" t="s">
        <v>17</v>
      </c>
      <c r="C6" s="4" t="s">
        <v>18</v>
      </c>
      <c r="D6" s="4" t="s">
        <v>19</v>
      </c>
      <c r="E6" s="4" t="s">
        <v>39</v>
      </c>
      <c r="F6" s="4" t="s">
        <v>29</v>
      </c>
      <c r="G6" s="4" t="s">
        <v>24</v>
      </c>
      <c r="H6" s="4" t="s">
        <v>24</v>
      </c>
      <c r="I6" s="4" t="s">
        <v>22</v>
      </c>
      <c r="J6" s="4" t="s">
        <v>24</v>
      </c>
      <c r="K6" s="4" t="s">
        <v>23</v>
      </c>
      <c r="L6" s="4" t="s">
        <v>23</v>
      </c>
      <c r="M6" s="4" t="s">
        <v>22</v>
      </c>
      <c r="N6" s="4" t="s">
        <v>23</v>
      </c>
      <c r="O6" s="4" t="s">
        <v>24</v>
      </c>
      <c r="P6" s="4" t="s">
        <v>40</v>
      </c>
      <c r="Q6" s="4" t="s">
        <v>41</v>
      </c>
    </row>
    <row r="7" spans="1:17" ht="22.5" customHeight="1" x14ac:dyDescent="0.2">
      <c r="A7" s="3">
        <v>46082.816971400462</v>
      </c>
      <c r="B7" s="4" t="s">
        <v>17</v>
      </c>
      <c r="C7" s="4" t="s">
        <v>18</v>
      </c>
      <c r="D7" s="4" t="s">
        <v>27</v>
      </c>
      <c r="E7" s="4" t="s">
        <v>36</v>
      </c>
      <c r="F7" s="4" t="s">
        <v>29</v>
      </c>
      <c r="G7" s="4" t="s">
        <v>24</v>
      </c>
      <c r="H7" s="4" t="s">
        <v>30</v>
      </c>
      <c r="I7" s="4" t="s">
        <v>31</v>
      </c>
      <c r="J7" s="4" t="s">
        <v>31</v>
      </c>
      <c r="K7" s="4" t="s">
        <v>22</v>
      </c>
      <c r="L7" s="4" t="s">
        <v>30</v>
      </c>
      <c r="M7" s="4" t="s">
        <v>24</v>
      </c>
      <c r="N7" s="4" t="s">
        <v>24</v>
      </c>
      <c r="O7" s="4" t="s">
        <v>24</v>
      </c>
      <c r="P7" s="4" t="s">
        <v>42</v>
      </c>
      <c r="Q7" s="4" t="s">
        <v>43</v>
      </c>
    </row>
    <row r="8" spans="1:17" ht="22.5" customHeight="1" x14ac:dyDescent="0.2">
      <c r="A8" s="3">
        <v>46082.836432569442</v>
      </c>
      <c r="B8" s="4" t="s">
        <v>17</v>
      </c>
      <c r="C8" s="4" t="s">
        <v>44</v>
      </c>
      <c r="D8" s="4" t="s">
        <v>19</v>
      </c>
      <c r="E8" s="4" t="s">
        <v>28</v>
      </c>
      <c r="F8" s="4" t="s">
        <v>21</v>
      </c>
      <c r="G8" s="4" t="s">
        <v>24</v>
      </c>
      <c r="H8" s="4" t="s">
        <v>22</v>
      </c>
      <c r="I8" s="4" t="s">
        <v>24</v>
      </c>
      <c r="J8" s="4" t="s">
        <v>24</v>
      </c>
      <c r="K8" s="4" t="s">
        <v>22</v>
      </c>
      <c r="L8" s="4" t="s">
        <v>24</v>
      </c>
      <c r="M8" s="4" t="s">
        <v>22</v>
      </c>
      <c r="N8" s="4" t="s">
        <v>22</v>
      </c>
      <c r="O8" s="4" t="s">
        <v>22</v>
      </c>
      <c r="P8" s="4" t="s">
        <v>45</v>
      </c>
      <c r="Q8" s="4" t="s">
        <v>46</v>
      </c>
    </row>
    <row r="9" spans="1:17" ht="22.5" customHeight="1" x14ac:dyDescent="0.2">
      <c r="A9" s="3">
        <v>46082.838043807875</v>
      </c>
      <c r="B9" s="4" t="s">
        <v>47</v>
      </c>
      <c r="C9" s="4" t="s">
        <v>18</v>
      </c>
      <c r="D9" s="4" t="s">
        <v>19</v>
      </c>
      <c r="E9" s="4" t="s">
        <v>20</v>
      </c>
      <c r="F9" s="4" t="s">
        <v>48</v>
      </c>
      <c r="G9" s="4" t="s">
        <v>24</v>
      </c>
      <c r="H9" s="4" t="s">
        <v>24</v>
      </c>
      <c r="I9" s="4" t="s">
        <v>24</v>
      </c>
      <c r="J9" s="4" t="s">
        <v>24</v>
      </c>
      <c r="K9" s="4" t="s">
        <v>24</v>
      </c>
      <c r="L9" s="4" t="s">
        <v>24</v>
      </c>
      <c r="M9" s="4" t="s">
        <v>22</v>
      </c>
      <c r="N9" s="4" t="s">
        <v>30</v>
      </c>
      <c r="O9" s="4" t="s">
        <v>23</v>
      </c>
      <c r="P9" s="4" t="s">
        <v>49</v>
      </c>
      <c r="Q9" s="4" t="s">
        <v>50</v>
      </c>
    </row>
    <row r="10" spans="1:17" ht="22.5" customHeight="1" x14ac:dyDescent="0.2">
      <c r="A10" s="3">
        <v>46082.839368136571</v>
      </c>
      <c r="B10" s="4" t="s">
        <v>17</v>
      </c>
      <c r="C10" s="4" t="s">
        <v>18</v>
      </c>
      <c r="D10" s="4" t="s">
        <v>19</v>
      </c>
      <c r="E10" s="4" t="s">
        <v>20</v>
      </c>
      <c r="F10" s="4" t="s">
        <v>29</v>
      </c>
      <c r="G10" s="4" t="s">
        <v>51</v>
      </c>
      <c r="H10" s="4" t="s">
        <v>31</v>
      </c>
      <c r="I10" s="4" t="s">
        <v>23</v>
      </c>
      <c r="J10" s="4" t="s">
        <v>24</v>
      </c>
      <c r="K10" s="4" t="s">
        <v>24</v>
      </c>
      <c r="L10" s="4" t="s">
        <v>24</v>
      </c>
      <c r="M10" s="4" t="s">
        <v>24</v>
      </c>
      <c r="N10" s="4" t="s">
        <v>22</v>
      </c>
      <c r="O10" s="4" t="s">
        <v>22</v>
      </c>
      <c r="P10" s="4" t="s">
        <v>52</v>
      </c>
      <c r="Q10" s="4" t="s">
        <v>53</v>
      </c>
    </row>
    <row r="11" spans="1:17" ht="22.5" customHeight="1" x14ac:dyDescent="0.2">
      <c r="A11" s="3">
        <v>46082.839461944444</v>
      </c>
      <c r="B11" s="4" t="s">
        <v>17</v>
      </c>
      <c r="C11" s="4" t="s">
        <v>18</v>
      </c>
      <c r="D11" s="4" t="s">
        <v>19</v>
      </c>
      <c r="E11" s="4" t="s">
        <v>20</v>
      </c>
      <c r="F11" s="4" t="s">
        <v>48</v>
      </c>
      <c r="G11" s="4" t="s">
        <v>24</v>
      </c>
      <c r="H11" s="4" t="s">
        <v>24</v>
      </c>
      <c r="I11" s="4" t="s">
        <v>24</v>
      </c>
      <c r="J11" s="4" t="s">
        <v>24</v>
      </c>
      <c r="K11" s="4" t="s">
        <v>24</v>
      </c>
      <c r="L11" s="4" t="s">
        <v>24</v>
      </c>
      <c r="M11" s="4" t="s">
        <v>30</v>
      </c>
      <c r="N11" s="4" t="s">
        <v>24</v>
      </c>
      <c r="O11" s="4" t="s">
        <v>22</v>
      </c>
      <c r="P11" s="4" t="s">
        <v>54</v>
      </c>
      <c r="Q11" s="4" t="s">
        <v>55</v>
      </c>
    </row>
    <row r="12" spans="1:17" ht="22.5" customHeight="1" x14ac:dyDescent="0.2">
      <c r="A12" s="3">
        <v>46082.840209618051</v>
      </c>
      <c r="B12" s="4" t="s">
        <v>17</v>
      </c>
      <c r="C12" s="4" t="s">
        <v>18</v>
      </c>
      <c r="D12" s="4" t="s">
        <v>19</v>
      </c>
      <c r="E12" s="4" t="s">
        <v>56</v>
      </c>
      <c r="F12" s="4" t="s">
        <v>48</v>
      </c>
      <c r="G12" s="4" t="s">
        <v>24</v>
      </c>
      <c r="H12" s="4" t="s">
        <v>24</v>
      </c>
      <c r="I12" s="4" t="s">
        <v>24</v>
      </c>
      <c r="J12" s="4" t="s">
        <v>31</v>
      </c>
      <c r="K12" s="4" t="s">
        <v>22</v>
      </c>
      <c r="L12" s="4" t="s">
        <v>30</v>
      </c>
      <c r="M12" s="4" t="s">
        <v>22</v>
      </c>
      <c r="N12" s="4" t="s">
        <v>30</v>
      </c>
      <c r="O12" s="4" t="s">
        <v>24</v>
      </c>
      <c r="P12" s="4" t="s">
        <v>57</v>
      </c>
      <c r="Q12" s="4" t="s">
        <v>58</v>
      </c>
    </row>
    <row r="13" spans="1:17" ht="22.5" customHeight="1" x14ac:dyDescent="0.2">
      <c r="A13" s="3">
        <v>46082.845500266209</v>
      </c>
      <c r="B13" s="4" t="s">
        <v>17</v>
      </c>
      <c r="C13" s="4" t="s">
        <v>44</v>
      </c>
      <c r="D13" s="4" t="s">
        <v>19</v>
      </c>
      <c r="E13" s="4" t="s">
        <v>20</v>
      </c>
      <c r="F13" s="4" t="s">
        <v>29</v>
      </c>
      <c r="G13" s="4" t="s">
        <v>30</v>
      </c>
      <c r="H13" s="4" t="s">
        <v>22</v>
      </c>
      <c r="I13" s="4" t="s">
        <v>24</v>
      </c>
      <c r="J13" s="4" t="s">
        <v>24</v>
      </c>
      <c r="K13" s="4" t="s">
        <v>24</v>
      </c>
      <c r="L13" s="4" t="s">
        <v>24</v>
      </c>
      <c r="M13" s="4" t="s">
        <v>24</v>
      </c>
      <c r="N13" s="4" t="s">
        <v>23</v>
      </c>
      <c r="O13" s="4" t="s">
        <v>23</v>
      </c>
      <c r="P13" s="4" t="s">
        <v>59</v>
      </c>
      <c r="Q13" s="4" t="s">
        <v>60</v>
      </c>
    </row>
    <row r="14" spans="1:17" ht="22.5" customHeight="1" x14ac:dyDescent="0.2">
      <c r="A14" s="3">
        <v>46082.848563217594</v>
      </c>
      <c r="B14" s="4" t="s">
        <v>17</v>
      </c>
      <c r="C14" s="4" t="s">
        <v>18</v>
      </c>
      <c r="D14" s="4" t="s">
        <v>19</v>
      </c>
      <c r="E14" s="4" t="s">
        <v>20</v>
      </c>
      <c r="F14" s="4" t="s">
        <v>48</v>
      </c>
      <c r="G14" s="4" t="s">
        <v>24</v>
      </c>
      <c r="H14" s="4" t="s">
        <v>22</v>
      </c>
      <c r="I14" s="4" t="s">
        <v>22</v>
      </c>
      <c r="J14" s="4" t="s">
        <v>30</v>
      </c>
      <c r="K14" s="4" t="s">
        <v>24</v>
      </c>
      <c r="L14" s="4" t="s">
        <v>22</v>
      </c>
      <c r="M14" s="4" t="s">
        <v>24</v>
      </c>
      <c r="N14" s="4" t="s">
        <v>24</v>
      </c>
      <c r="O14" s="4" t="s">
        <v>22</v>
      </c>
      <c r="P14" s="4" t="s">
        <v>61</v>
      </c>
      <c r="Q14" s="4" t="s">
        <v>62</v>
      </c>
    </row>
    <row r="15" spans="1:17" ht="22.5" customHeight="1" x14ac:dyDescent="0.2">
      <c r="A15" s="3">
        <v>46082.850717638888</v>
      </c>
      <c r="B15" s="4" t="s">
        <v>17</v>
      </c>
      <c r="C15" s="4" t="s">
        <v>18</v>
      </c>
      <c r="D15" s="4" t="s">
        <v>19</v>
      </c>
      <c r="E15" s="4" t="s">
        <v>28</v>
      </c>
      <c r="F15" s="4" t="s">
        <v>21</v>
      </c>
      <c r="G15" s="4" t="s">
        <v>24</v>
      </c>
      <c r="H15" s="4" t="s">
        <v>22</v>
      </c>
      <c r="I15" s="4" t="s">
        <v>24</v>
      </c>
      <c r="J15" s="4" t="s">
        <v>30</v>
      </c>
      <c r="K15" s="4" t="s">
        <v>22</v>
      </c>
      <c r="L15" s="4" t="s">
        <v>24</v>
      </c>
      <c r="M15" s="4" t="s">
        <v>24</v>
      </c>
      <c r="N15" s="4" t="s">
        <v>24</v>
      </c>
      <c r="O15" s="4" t="s">
        <v>24</v>
      </c>
      <c r="P15" s="4" t="s">
        <v>63</v>
      </c>
      <c r="Q15" s="4" t="s">
        <v>64</v>
      </c>
    </row>
    <row r="16" spans="1:17" ht="22.5" customHeight="1" x14ac:dyDescent="0.2">
      <c r="A16" s="3">
        <v>46082.851203923608</v>
      </c>
      <c r="B16" s="4" t="s">
        <v>17</v>
      </c>
      <c r="C16" s="4" t="s">
        <v>18</v>
      </c>
      <c r="D16" s="4" t="s">
        <v>19</v>
      </c>
      <c r="E16" s="4" t="s">
        <v>20</v>
      </c>
      <c r="F16" s="4" t="s">
        <v>29</v>
      </c>
      <c r="G16" s="4" t="s">
        <v>24</v>
      </c>
      <c r="H16" s="4" t="s">
        <v>30</v>
      </c>
      <c r="I16" s="4" t="s">
        <v>24</v>
      </c>
      <c r="J16" s="4" t="s">
        <v>30</v>
      </c>
      <c r="K16" s="4" t="s">
        <v>24</v>
      </c>
      <c r="L16" s="4" t="s">
        <v>24</v>
      </c>
      <c r="M16" s="4" t="s">
        <v>30</v>
      </c>
      <c r="N16" s="4" t="s">
        <v>24</v>
      </c>
      <c r="O16" s="4" t="s">
        <v>22</v>
      </c>
      <c r="P16" s="4" t="s">
        <v>65</v>
      </c>
      <c r="Q16" s="4" t="s">
        <v>41</v>
      </c>
    </row>
    <row r="17" spans="1:17" ht="22.5" customHeight="1" x14ac:dyDescent="0.2">
      <c r="A17" s="3">
        <v>46082.851738148151</v>
      </c>
      <c r="B17" s="4" t="s">
        <v>66</v>
      </c>
      <c r="C17" s="4" t="s">
        <v>18</v>
      </c>
      <c r="D17" s="4" t="s">
        <v>19</v>
      </c>
      <c r="E17" s="4" t="s">
        <v>28</v>
      </c>
      <c r="F17" s="4" t="s">
        <v>21</v>
      </c>
      <c r="G17" s="4" t="s">
        <v>24</v>
      </c>
      <c r="H17" s="4" t="s">
        <v>24</v>
      </c>
      <c r="I17" s="4" t="s">
        <v>30</v>
      </c>
      <c r="J17" s="4" t="s">
        <v>31</v>
      </c>
      <c r="K17" s="4" t="s">
        <v>24</v>
      </c>
      <c r="L17" s="4" t="s">
        <v>24</v>
      </c>
      <c r="M17" s="4" t="s">
        <v>22</v>
      </c>
      <c r="N17" s="4" t="s">
        <v>30</v>
      </c>
      <c r="O17" s="4" t="s">
        <v>24</v>
      </c>
      <c r="P17" s="4" t="s">
        <v>67</v>
      </c>
      <c r="Q17" s="4" t="s">
        <v>68</v>
      </c>
    </row>
    <row r="18" spans="1:17" ht="22.5" customHeight="1" x14ac:dyDescent="0.2">
      <c r="A18" s="3">
        <v>46082.853942268513</v>
      </c>
      <c r="B18" s="4" t="s">
        <v>17</v>
      </c>
      <c r="C18" s="4" t="s">
        <v>18</v>
      </c>
      <c r="D18" s="4" t="s">
        <v>19</v>
      </c>
      <c r="E18" s="4" t="s">
        <v>20</v>
      </c>
      <c r="F18" s="4" t="s">
        <v>29</v>
      </c>
      <c r="G18" s="4" t="s">
        <v>24</v>
      </c>
      <c r="H18" s="4" t="s">
        <v>30</v>
      </c>
      <c r="I18" s="4" t="s">
        <v>30</v>
      </c>
      <c r="J18" s="4" t="s">
        <v>31</v>
      </c>
      <c r="K18" s="4" t="s">
        <v>24</v>
      </c>
      <c r="L18" s="4" t="s">
        <v>30</v>
      </c>
      <c r="M18" s="4" t="s">
        <v>24</v>
      </c>
      <c r="N18" s="4" t="s">
        <v>31</v>
      </c>
      <c r="O18" s="4" t="s">
        <v>30</v>
      </c>
      <c r="P18" s="4" t="s">
        <v>69</v>
      </c>
      <c r="Q18" s="4" t="s">
        <v>70</v>
      </c>
    </row>
    <row r="19" spans="1:17" ht="22.5" customHeight="1" x14ac:dyDescent="0.2">
      <c r="A19" s="3">
        <v>46082.854155925925</v>
      </c>
      <c r="B19" s="4" t="s">
        <v>17</v>
      </c>
      <c r="C19" s="4" t="s">
        <v>44</v>
      </c>
      <c r="D19" s="4" t="s">
        <v>19</v>
      </c>
      <c r="E19" s="4" t="s">
        <v>56</v>
      </c>
      <c r="F19" s="4" t="s">
        <v>48</v>
      </c>
      <c r="G19" s="4" t="s">
        <v>22</v>
      </c>
      <c r="H19" s="4" t="s">
        <v>22</v>
      </c>
      <c r="I19" s="4" t="s">
        <v>24</v>
      </c>
      <c r="J19" s="4" t="s">
        <v>30</v>
      </c>
      <c r="K19" s="4" t="s">
        <v>22</v>
      </c>
      <c r="L19" s="4" t="s">
        <v>23</v>
      </c>
      <c r="M19" s="4" t="s">
        <v>24</v>
      </c>
      <c r="N19" s="4" t="s">
        <v>23</v>
      </c>
      <c r="O19" s="4" t="s">
        <v>23</v>
      </c>
      <c r="P19" s="4" t="s">
        <v>71</v>
      </c>
      <c r="Q19" s="4" t="s">
        <v>72</v>
      </c>
    </row>
    <row r="20" spans="1:17" ht="22.5" customHeight="1" x14ac:dyDescent="0.2">
      <c r="A20" s="3">
        <v>46082.856789097219</v>
      </c>
      <c r="B20" s="4" t="s">
        <v>17</v>
      </c>
      <c r="C20" s="4" t="s">
        <v>44</v>
      </c>
      <c r="D20" s="4" t="s">
        <v>19</v>
      </c>
      <c r="E20" s="4" t="s">
        <v>20</v>
      </c>
      <c r="F20" s="4" t="s">
        <v>21</v>
      </c>
      <c r="G20" s="4" t="s">
        <v>24</v>
      </c>
      <c r="H20" s="4" t="s">
        <v>30</v>
      </c>
      <c r="I20" s="4" t="s">
        <v>24</v>
      </c>
      <c r="J20" s="4" t="s">
        <v>30</v>
      </c>
      <c r="K20" s="4" t="s">
        <v>24</v>
      </c>
      <c r="L20" s="4" t="s">
        <v>24</v>
      </c>
      <c r="M20" s="4" t="s">
        <v>24</v>
      </c>
      <c r="N20" s="4" t="s">
        <v>30</v>
      </c>
      <c r="O20" s="4" t="s">
        <v>24</v>
      </c>
      <c r="P20" s="4" t="s">
        <v>73</v>
      </c>
      <c r="Q20" s="4" t="s">
        <v>74</v>
      </c>
    </row>
    <row r="21" spans="1:17" ht="22.5" customHeight="1" x14ac:dyDescent="0.2">
      <c r="A21" s="3">
        <v>46082.8598365625</v>
      </c>
      <c r="B21" s="4" t="s">
        <v>17</v>
      </c>
      <c r="C21" s="4" t="s">
        <v>44</v>
      </c>
      <c r="D21" s="4" t="s">
        <v>27</v>
      </c>
      <c r="E21" s="4" t="s">
        <v>56</v>
      </c>
      <c r="F21" s="4" t="s">
        <v>48</v>
      </c>
      <c r="G21" s="4" t="s">
        <v>24</v>
      </c>
      <c r="H21" s="4" t="s">
        <v>22</v>
      </c>
      <c r="I21" s="4" t="s">
        <v>24</v>
      </c>
      <c r="J21" s="4" t="s">
        <v>24</v>
      </c>
      <c r="K21" s="4" t="s">
        <v>24</v>
      </c>
      <c r="L21" s="4" t="s">
        <v>24</v>
      </c>
      <c r="M21" s="4" t="s">
        <v>30</v>
      </c>
      <c r="N21" s="4" t="s">
        <v>24</v>
      </c>
      <c r="O21" s="4" t="s">
        <v>24</v>
      </c>
      <c r="P21" s="4" t="s">
        <v>75</v>
      </c>
      <c r="Q21" s="4" t="s">
        <v>76</v>
      </c>
    </row>
    <row r="22" spans="1:17" ht="22.5" customHeight="1" x14ac:dyDescent="0.2">
      <c r="A22" s="3">
        <v>46082.865224756941</v>
      </c>
      <c r="B22" s="4" t="s">
        <v>17</v>
      </c>
      <c r="C22" s="4" t="s">
        <v>18</v>
      </c>
      <c r="D22" s="4" t="s">
        <v>19</v>
      </c>
      <c r="E22" s="4" t="s">
        <v>28</v>
      </c>
      <c r="F22" s="4" t="s">
        <v>29</v>
      </c>
      <c r="G22" s="4" t="s">
        <v>22</v>
      </c>
      <c r="H22" s="4" t="s">
        <v>24</v>
      </c>
      <c r="I22" s="4" t="s">
        <v>24</v>
      </c>
      <c r="J22" s="4" t="s">
        <v>31</v>
      </c>
      <c r="K22" s="4" t="s">
        <v>22</v>
      </c>
      <c r="L22" s="4" t="s">
        <v>30</v>
      </c>
      <c r="M22" s="4" t="s">
        <v>24</v>
      </c>
      <c r="N22" s="4" t="s">
        <v>24</v>
      </c>
      <c r="O22" s="4" t="s">
        <v>22</v>
      </c>
      <c r="P22" s="4" t="s">
        <v>77</v>
      </c>
      <c r="Q22" s="4" t="s">
        <v>78</v>
      </c>
    </row>
    <row r="23" spans="1:17" ht="22.5" customHeight="1" x14ac:dyDescent="0.2">
      <c r="A23" s="3">
        <v>46082.866247858794</v>
      </c>
      <c r="B23" s="4" t="s">
        <v>17</v>
      </c>
      <c r="C23" s="4" t="s">
        <v>44</v>
      </c>
      <c r="D23" s="4" t="s">
        <v>19</v>
      </c>
      <c r="E23" s="4" t="s">
        <v>28</v>
      </c>
      <c r="F23" s="4" t="s">
        <v>48</v>
      </c>
      <c r="G23" s="4" t="s">
        <v>22</v>
      </c>
      <c r="H23" s="4" t="s">
        <v>24</v>
      </c>
      <c r="I23" s="4" t="s">
        <v>22</v>
      </c>
      <c r="J23" s="4" t="s">
        <v>24</v>
      </c>
      <c r="K23" s="4" t="s">
        <v>24</v>
      </c>
      <c r="L23" s="4" t="s">
        <v>24</v>
      </c>
      <c r="M23" s="4" t="s">
        <v>22</v>
      </c>
      <c r="N23" s="4" t="s">
        <v>24</v>
      </c>
      <c r="O23" s="4" t="s">
        <v>24</v>
      </c>
      <c r="P23" s="4" t="s">
        <v>79</v>
      </c>
      <c r="Q23" s="4" t="s">
        <v>80</v>
      </c>
    </row>
    <row r="24" spans="1:17" ht="22.5" customHeight="1" x14ac:dyDescent="0.2">
      <c r="A24" s="3">
        <v>46082.93623042824</v>
      </c>
      <c r="B24" s="4" t="s">
        <v>66</v>
      </c>
      <c r="C24" s="4" t="s">
        <v>18</v>
      </c>
      <c r="D24" s="4" t="s">
        <v>19</v>
      </c>
      <c r="E24" s="4" t="s">
        <v>56</v>
      </c>
      <c r="F24" s="4" t="s">
        <v>29</v>
      </c>
      <c r="G24" s="4" t="s">
        <v>30</v>
      </c>
      <c r="H24" s="4" t="s">
        <v>24</v>
      </c>
      <c r="I24" s="4" t="s">
        <v>24</v>
      </c>
      <c r="J24" s="4" t="s">
        <v>30</v>
      </c>
      <c r="K24" s="4" t="s">
        <v>24</v>
      </c>
      <c r="L24" s="4" t="s">
        <v>22</v>
      </c>
      <c r="M24" s="4" t="s">
        <v>24</v>
      </c>
      <c r="N24" s="4" t="s">
        <v>23</v>
      </c>
      <c r="O24" s="4" t="s">
        <v>23</v>
      </c>
      <c r="P24" s="4" t="s">
        <v>81</v>
      </c>
      <c r="Q24" s="4" t="s">
        <v>82</v>
      </c>
    </row>
    <row r="25" spans="1:17" ht="22.5" customHeight="1" x14ac:dyDescent="0.2">
      <c r="A25" s="3">
        <v>46083.390942789352</v>
      </c>
      <c r="B25" s="4" t="s">
        <v>17</v>
      </c>
      <c r="C25" s="4" t="s">
        <v>44</v>
      </c>
      <c r="D25" s="4" t="s">
        <v>27</v>
      </c>
      <c r="E25" s="4" t="s">
        <v>56</v>
      </c>
      <c r="F25" s="4" t="s">
        <v>48</v>
      </c>
      <c r="G25" s="4" t="s">
        <v>24</v>
      </c>
      <c r="H25" s="4" t="s">
        <v>24</v>
      </c>
      <c r="I25" s="4" t="s">
        <v>24</v>
      </c>
      <c r="J25" s="4" t="s">
        <v>31</v>
      </c>
      <c r="K25" s="4" t="s">
        <v>24</v>
      </c>
      <c r="L25" s="4" t="s">
        <v>30</v>
      </c>
      <c r="M25" s="4" t="s">
        <v>24</v>
      </c>
      <c r="N25" s="4" t="s">
        <v>22</v>
      </c>
      <c r="O25" s="4" t="s">
        <v>22</v>
      </c>
      <c r="P25" s="4" t="s">
        <v>83</v>
      </c>
      <c r="Q25" s="4" t="s">
        <v>84</v>
      </c>
    </row>
    <row r="26" spans="1:17" ht="22.5" customHeight="1" x14ac:dyDescent="0.2">
      <c r="A26" s="3">
        <v>46084.549578657403</v>
      </c>
      <c r="B26" s="4" t="s">
        <v>47</v>
      </c>
      <c r="C26" s="4" t="s">
        <v>18</v>
      </c>
      <c r="D26" s="4" t="s">
        <v>19</v>
      </c>
      <c r="E26" s="4" t="s">
        <v>28</v>
      </c>
      <c r="F26" s="4" t="s">
        <v>21</v>
      </c>
      <c r="G26" s="4" t="s">
        <v>30</v>
      </c>
      <c r="H26" s="4" t="s">
        <v>24</v>
      </c>
      <c r="I26" s="4" t="s">
        <v>30</v>
      </c>
      <c r="J26" s="4" t="s">
        <v>31</v>
      </c>
      <c r="K26" s="4" t="s">
        <v>30</v>
      </c>
      <c r="L26" s="4" t="s">
        <v>30</v>
      </c>
      <c r="M26" s="4" t="s">
        <v>30</v>
      </c>
      <c r="N26" s="4" t="s">
        <v>24</v>
      </c>
      <c r="O26" s="4" t="s">
        <v>24</v>
      </c>
      <c r="P26" s="4" t="s">
        <v>85</v>
      </c>
      <c r="Q26" s="4" t="s">
        <v>86</v>
      </c>
    </row>
    <row r="27" spans="1:17" ht="22.5" customHeight="1" x14ac:dyDescent="0.2">
      <c r="A27" s="3">
        <v>46084.556541018523</v>
      </c>
      <c r="B27" s="4" t="s">
        <v>17</v>
      </c>
      <c r="C27" s="4" t="s">
        <v>18</v>
      </c>
      <c r="D27" s="4" t="s">
        <v>19</v>
      </c>
      <c r="E27" s="4" t="s">
        <v>28</v>
      </c>
      <c r="F27" s="4" t="s">
        <v>48</v>
      </c>
      <c r="G27" s="4" t="s">
        <v>24</v>
      </c>
      <c r="H27" s="4" t="s">
        <v>24</v>
      </c>
      <c r="I27" s="4" t="s">
        <v>24</v>
      </c>
      <c r="J27" s="4" t="s">
        <v>30</v>
      </c>
      <c r="K27" s="4" t="s">
        <v>22</v>
      </c>
      <c r="L27" s="4" t="s">
        <v>22</v>
      </c>
      <c r="M27" s="4" t="s">
        <v>30</v>
      </c>
      <c r="N27" s="4" t="s">
        <v>22</v>
      </c>
      <c r="O27" s="4" t="s">
        <v>22</v>
      </c>
      <c r="P27" s="4" t="s">
        <v>87</v>
      </c>
      <c r="Q27" s="4" t="s">
        <v>88</v>
      </c>
    </row>
    <row r="28" spans="1:17" ht="22.5" customHeight="1" x14ac:dyDescent="0.2">
      <c r="A28" s="3">
        <v>46084.558558263889</v>
      </c>
      <c r="B28" s="4" t="s">
        <v>17</v>
      </c>
      <c r="C28" s="4" t="s">
        <v>18</v>
      </c>
      <c r="D28" s="4" t="s">
        <v>19</v>
      </c>
      <c r="E28" s="4" t="s">
        <v>20</v>
      </c>
      <c r="F28" s="4" t="s">
        <v>21</v>
      </c>
      <c r="G28" s="4" t="s">
        <v>30</v>
      </c>
      <c r="H28" s="4" t="s">
        <v>30</v>
      </c>
      <c r="I28" s="4" t="s">
        <v>24</v>
      </c>
      <c r="J28" s="4" t="s">
        <v>23</v>
      </c>
      <c r="K28" s="4" t="s">
        <v>24</v>
      </c>
      <c r="L28" s="4" t="s">
        <v>24</v>
      </c>
      <c r="M28" s="4" t="s">
        <v>22</v>
      </c>
      <c r="N28" s="4" t="s">
        <v>22</v>
      </c>
      <c r="O28" s="4" t="s">
        <v>22</v>
      </c>
      <c r="P28" s="4" t="s">
        <v>89</v>
      </c>
      <c r="Q28" s="4" t="s">
        <v>90</v>
      </c>
    </row>
    <row r="29" spans="1:17" ht="22.5" customHeight="1" x14ac:dyDescent="0.2">
      <c r="A29" s="3">
        <v>46084.563633726852</v>
      </c>
      <c r="B29" s="4" t="s">
        <v>17</v>
      </c>
      <c r="C29" s="4" t="s">
        <v>18</v>
      </c>
      <c r="D29" s="4" t="s">
        <v>27</v>
      </c>
      <c r="E29" s="4" t="s">
        <v>20</v>
      </c>
      <c r="F29" s="4" t="s">
        <v>91</v>
      </c>
      <c r="G29" s="4" t="s">
        <v>51</v>
      </c>
      <c r="H29" s="4" t="s">
        <v>23</v>
      </c>
      <c r="I29" s="4" t="s">
        <v>23</v>
      </c>
      <c r="J29" s="4" t="s">
        <v>23</v>
      </c>
      <c r="K29" s="4" t="s">
        <v>23</v>
      </c>
      <c r="L29" s="4" t="s">
        <v>23</v>
      </c>
      <c r="M29" s="4" t="s">
        <v>23</v>
      </c>
      <c r="N29" s="4" t="s">
        <v>23</v>
      </c>
      <c r="O29" s="4" t="s">
        <v>23</v>
      </c>
      <c r="P29" s="4" t="s">
        <v>92</v>
      </c>
      <c r="Q29" s="4" t="s">
        <v>93</v>
      </c>
    </row>
    <row r="30" spans="1:17" ht="22.5" customHeight="1" x14ac:dyDescent="0.2">
      <c r="A30" s="3">
        <v>46084.572511539351</v>
      </c>
      <c r="B30" s="4" t="s">
        <v>17</v>
      </c>
      <c r="C30" s="4" t="s">
        <v>18</v>
      </c>
      <c r="D30" s="4" t="s">
        <v>19</v>
      </c>
      <c r="E30" s="4" t="s">
        <v>28</v>
      </c>
      <c r="F30" s="4" t="s">
        <v>48</v>
      </c>
      <c r="G30" s="4" t="s">
        <v>24</v>
      </c>
      <c r="H30" s="4" t="s">
        <v>30</v>
      </c>
      <c r="I30" s="4" t="s">
        <v>24</v>
      </c>
      <c r="J30" s="4" t="s">
        <v>30</v>
      </c>
      <c r="K30" s="4" t="s">
        <v>22</v>
      </c>
      <c r="L30" s="4" t="s">
        <v>24</v>
      </c>
      <c r="M30" s="4" t="s">
        <v>30</v>
      </c>
      <c r="N30" s="4" t="s">
        <v>24</v>
      </c>
      <c r="O30" s="4" t="s">
        <v>24</v>
      </c>
      <c r="P30" s="4" t="s">
        <v>94</v>
      </c>
      <c r="Q30" s="4" t="s">
        <v>95</v>
      </c>
    </row>
    <row r="31" spans="1:17" ht="22.5" customHeight="1" x14ac:dyDescent="0.2">
      <c r="A31" s="3">
        <v>46084.580329837961</v>
      </c>
      <c r="B31" s="4" t="s">
        <v>17</v>
      </c>
      <c r="C31" s="4" t="s">
        <v>18</v>
      </c>
      <c r="D31" s="4" t="s">
        <v>19</v>
      </c>
      <c r="E31" s="4" t="s">
        <v>36</v>
      </c>
      <c r="F31" s="4" t="s">
        <v>29</v>
      </c>
      <c r="G31" s="4" t="s">
        <v>24</v>
      </c>
      <c r="H31" s="4" t="s">
        <v>30</v>
      </c>
      <c r="I31" s="4" t="s">
        <v>24</v>
      </c>
      <c r="J31" s="4" t="s">
        <v>24</v>
      </c>
      <c r="K31" s="4" t="s">
        <v>24</v>
      </c>
      <c r="L31" s="4" t="s">
        <v>22</v>
      </c>
      <c r="M31" s="4" t="s">
        <v>24</v>
      </c>
      <c r="N31" s="4" t="s">
        <v>22</v>
      </c>
      <c r="O31" s="4" t="s">
        <v>23</v>
      </c>
      <c r="P31" s="4" t="s">
        <v>96</v>
      </c>
      <c r="Q31" s="4" t="s">
        <v>97</v>
      </c>
    </row>
    <row r="32" spans="1:17" ht="22.5" customHeight="1" x14ac:dyDescent="0.2">
      <c r="A32" s="3">
        <v>46084.619587465277</v>
      </c>
      <c r="B32" s="4" t="s">
        <v>47</v>
      </c>
      <c r="C32" s="4" t="s">
        <v>18</v>
      </c>
      <c r="D32" s="4" t="s">
        <v>19</v>
      </c>
      <c r="E32" s="4" t="s">
        <v>56</v>
      </c>
      <c r="F32" s="4" t="s">
        <v>48</v>
      </c>
      <c r="G32" s="4" t="s">
        <v>24</v>
      </c>
      <c r="H32" s="4" t="s">
        <v>24</v>
      </c>
      <c r="I32" s="4" t="s">
        <v>24</v>
      </c>
      <c r="J32" s="4" t="s">
        <v>24</v>
      </c>
      <c r="K32" s="4" t="s">
        <v>24</v>
      </c>
      <c r="L32" s="4" t="s">
        <v>24</v>
      </c>
      <c r="M32" s="4" t="s">
        <v>24</v>
      </c>
      <c r="N32" s="4" t="s">
        <v>22</v>
      </c>
      <c r="O32" s="4" t="s">
        <v>22</v>
      </c>
      <c r="P32" s="4" t="s">
        <v>98</v>
      </c>
      <c r="Q32" s="4" t="s">
        <v>99</v>
      </c>
    </row>
    <row r="33" spans="1:17" ht="22.5" customHeight="1" x14ac:dyDescent="0.2">
      <c r="A33" s="3">
        <v>46084.669561527779</v>
      </c>
      <c r="B33" s="4" t="s">
        <v>17</v>
      </c>
      <c r="C33" s="4" t="s">
        <v>44</v>
      </c>
      <c r="D33" s="4" t="s">
        <v>19</v>
      </c>
      <c r="E33" s="4" t="s">
        <v>36</v>
      </c>
      <c r="F33" s="4" t="s">
        <v>29</v>
      </c>
      <c r="G33" s="4" t="s">
        <v>24</v>
      </c>
      <c r="H33" s="4" t="s">
        <v>24</v>
      </c>
      <c r="I33" s="4" t="s">
        <v>24</v>
      </c>
      <c r="J33" s="4" t="s">
        <v>24</v>
      </c>
      <c r="K33" s="4" t="s">
        <v>24</v>
      </c>
      <c r="L33" s="4" t="s">
        <v>24</v>
      </c>
      <c r="M33" s="4" t="s">
        <v>24</v>
      </c>
      <c r="N33" s="4" t="s">
        <v>24</v>
      </c>
      <c r="O33" s="4" t="s">
        <v>22</v>
      </c>
      <c r="P33" s="4" t="s">
        <v>100</v>
      </c>
      <c r="Q33" s="4" t="s">
        <v>101</v>
      </c>
    </row>
    <row r="34" spans="1:17" ht="22.5" customHeight="1" x14ac:dyDescent="0.2">
      <c r="A34" s="3">
        <v>46085.956581863429</v>
      </c>
      <c r="B34" s="4" t="s">
        <v>17</v>
      </c>
      <c r="C34" s="4" t="s">
        <v>44</v>
      </c>
      <c r="D34" s="4" t="s">
        <v>19</v>
      </c>
      <c r="E34" s="4" t="s">
        <v>20</v>
      </c>
      <c r="F34" s="4" t="s">
        <v>21</v>
      </c>
      <c r="G34" s="4" t="s">
        <v>22</v>
      </c>
      <c r="H34" s="4" t="s">
        <v>22</v>
      </c>
      <c r="I34" s="4" t="s">
        <v>22</v>
      </c>
      <c r="J34" s="4" t="s">
        <v>22</v>
      </c>
      <c r="K34" s="4" t="s">
        <v>22</v>
      </c>
      <c r="L34" s="4" t="s">
        <v>22</v>
      </c>
      <c r="M34" s="4" t="s">
        <v>22</v>
      </c>
      <c r="N34" s="4" t="s">
        <v>22</v>
      </c>
      <c r="O34" s="4" t="s">
        <v>22</v>
      </c>
      <c r="P34" s="4" t="s">
        <v>102</v>
      </c>
      <c r="Q34" s="4" t="s">
        <v>103</v>
      </c>
    </row>
    <row r="35" spans="1:17" ht="22.5" customHeight="1" x14ac:dyDescent="0.2">
      <c r="A35" s="3">
        <v>46087.530204849536</v>
      </c>
      <c r="B35" s="4" t="s">
        <v>104</v>
      </c>
      <c r="C35" s="4" t="s">
        <v>44</v>
      </c>
      <c r="D35" s="4" t="s">
        <v>27</v>
      </c>
      <c r="E35" s="4" t="s">
        <v>28</v>
      </c>
      <c r="F35" s="4" t="s">
        <v>48</v>
      </c>
      <c r="G35" s="4" t="s">
        <v>24</v>
      </c>
      <c r="H35" s="4" t="s">
        <v>24</v>
      </c>
      <c r="I35" s="4" t="s">
        <v>24</v>
      </c>
      <c r="J35" s="4" t="s">
        <v>30</v>
      </c>
      <c r="K35" s="4" t="s">
        <v>22</v>
      </c>
      <c r="L35" s="4" t="s">
        <v>24</v>
      </c>
      <c r="M35" s="4" t="s">
        <v>24</v>
      </c>
      <c r="N35" s="4" t="s">
        <v>22</v>
      </c>
      <c r="O35" s="4" t="s">
        <v>24</v>
      </c>
      <c r="P35" s="4" t="s">
        <v>105</v>
      </c>
      <c r="Q35" s="4" t="s">
        <v>106</v>
      </c>
    </row>
    <row r="36" spans="1:17" ht="22.5" customHeight="1" x14ac:dyDescent="0.2">
      <c r="A36" s="3">
        <v>46087.571543692131</v>
      </c>
      <c r="B36" s="4" t="s">
        <v>107</v>
      </c>
      <c r="C36" s="4" t="s">
        <v>44</v>
      </c>
      <c r="D36" s="4" t="s">
        <v>108</v>
      </c>
      <c r="E36" s="4" t="s">
        <v>36</v>
      </c>
      <c r="F36" s="4" t="s">
        <v>21</v>
      </c>
      <c r="G36" s="4" t="s">
        <v>22</v>
      </c>
      <c r="H36" s="4" t="s">
        <v>22</v>
      </c>
      <c r="I36" s="4" t="s">
        <v>22</v>
      </c>
      <c r="J36" s="4" t="s">
        <v>24</v>
      </c>
      <c r="K36" s="4" t="s">
        <v>24</v>
      </c>
      <c r="L36" s="4" t="s">
        <v>22</v>
      </c>
      <c r="M36" s="4" t="s">
        <v>24</v>
      </c>
      <c r="N36" s="4" t="s">
        <v>24</v>
      </c>
      <c r="O36" s="4" t="s">
        <v>22</v>
      </c>
      <c r="P36" s="4" t="s">
        <v>109</v>
      </c>
      <c r="Q36" s="4" t="s">
        <v>110</v>
      </c>
    </row>
    <row r="37" spans="1:17" ht="22.5" customHeight="1" x14ac:dyDescent="0.2">
      <c r="A37" s="3">
        <v>46097.843865000003</v>
      </c>
      <c r="B37" s="4" t="s">
        <v>104</v>
      </c>
      <c r="C37" s="4" t="s">
        <v>18</v>
      </c>
      <c r="D37" s="4" t="s">
        <v>111</v>
      </c>
      <c r="E37" s="4" t="s">
        <v>28</v>
      </c>
      <c r="F37" s="4" t="s">
        <v>21</v>
      </c>
      <c r="G37" s="4" t="s">
        <v>24</v>
      </c>
      <c r="H37" s="4" t="s">
        <v>22</v>
      </c>
      <c r="I37" s="4" t="s">
        <v>24</v>
      </c>
      <c r="J37" s="4" t="s">
        <v>30</v>
      </c>
      <c r="K37" s="4" t="s">
        <v>23</v>
      </c>
      <c r="L37" s="4" t="s">
        <v>22</v>
      </c>
      <c r="M37" s="4" t="s">
        <v>24</v>
      </c>
      <c r="N37" s="4" t="s">
        <v>31</v>
      </c>
      <c r="O37" s="4" t="s">
        <v>30</v>
      </c>
      <c r="P37" s="4" t="s">
        <v>112</v>
      </c>
      <c r="Q37" s="4" t="s">
        <v>113</v>
      </c>
    </row>
    <row r="38" spans="1:17" ht="22.5" customHeight="1" x14ac:dyDescent="0.2">
      <c r="A38" s="3">
        <v>46097.849367789357</v>
      </c>
      <c r="B38" s="4" t="s">
        <v>104</v>
      </c>
      <c r="C38" s="4" t="s">
        <v>18</v>
      </c>
      <c r="D38" s="4" t="s">
        <v>111</v>
      </c>
      <c r="E38" s="4" t="s">
        <v>28</v>
      </c>
      <c r="F38" s="4" t="s">
        <v>48</v>
      </c>
      <c r="G38" s="4" t="s">
        <v>24</v>
      </c>
      <c r="H38" s="4" t="s">
        <v>24</v>
      </c>
      <c r="I38" s="4" t="s">
        <v>24</v>
      </c>
      <c r="J38" s="4" t="s">
        <v>24</v>
      </c>
      <c r="K38" s="4" t="s">
        <v>22</v>
      </c>
      <c r="L38" s="4" t="s">
        <v>24</v>
      </c>
      <c r="M38" s="4" t="s">
        <v>22</v>
      </c>
      <c r="N38" s="4" t="s">
        <v>24</v>
      </c>
      <c r="O38" s="4" t="s">
        <v>22</v>
      </c>
      <c r="P38" s="4" t="s">
        <v>114</v>
      </c>
      <c r="Q38" s="4" t="s">
        <v>115</v>
      </c>
    </row>
    <row r="39" spans="1:17" ht="22.5" customHeight="1" x14ac:dyDescent="0.2">
      <c r="A39" s="3">
        <v>46097.849507384264</v>
      </c>
      <c r="B39" s="4" t="s">
        <v>104</v>
      </c>
      <c r="C39" s="4" t="s">
        <v>18</v>
      </c>
      <c r="D39" s="4" t="s">
        <v>27</v>
      </c>
      <c r="E39" s="4" t="s">
        <v>20</v>
      </c>
      <c r="F39" s="4" t="s">
        <v>21</v>
      </c>
      <c r="G39" s="4" t="s">
        <v>24</v>
      </c>
      <c r="H39" s="4" t="s">
        <v>24</v>
      </c>
      <c r="I39" s="4" t="s">
        <v>24</v>
      </c>
      <c r="J39" s="4" t="s">
        <v>24</v>
      </c>
      <c r="K39" s="4" t="s">
        <v>22</v>
      </c>
      <c r="L39" s="4" t="s">
        <v>22</v>
      </c>
      <c r="M39" s="4" t="s">
        <v>22</v>
      </c>
      <c r="N39" s="4" t="s">
        <v>22</v>
      </c>
      <c r="O39" s="4" t="s">
        <v>22</v>
      </c>
      <c r="P39" s="4" t="s">
        <v>116</v>
      </c>
      <c r="Q39" s="4" t="s">
        <v>117</v>
      </c>
    </row>
    <row r="40" spans="1:17" ht="22.5" customHeight="1" x14ac:dyDescent="0.2">
      <c r="A40" s="3">
        <v>46097.849795162037</v>
      </c>
      <c r="B40" s="4" t="s">
        <v>104</v>
      </c>
      <c r="C40" s="4" t="s">
        <v>18</v>
      </c>
      <c r="D40" s="4" t="s">
        <v>111</v>
      </c>
      <c r="E40" s="4" t="s">
        <v>56</v>
      </c>
      <c r="F40" s="4" t="s">
        <v>48</v>
      </c>
      <c r="G40" s="4" t="s">
        <v>24</v>
      </c>
      <c r="H40" s="4" t="s">
        <v>30</v>
      </c>
      <c r="I40" s="4" t="s">
        <v>30</v>
      </c>
      <c r="J40" s="4" t="s">
        <v>31</v>
      </c>
      <c r="K40" s="4" t="s">
        <v>24</v>
      </c>
      <c r="L40" s="4" t="s">
        <v>30</v>
      </c>
      <c r="M40" s="4" t="s">
        <v>30</v>
      </c>
      <c r="N40" s="4" t="s">
        <v>24</v>
      </c>
      <c r="O40" s="4" t="s">
        <v>24</v>
      </c>
      <c r="P40" s="4" t="s">
        <v>118</v>
      </c>
      <c r="Q40" s="4" t="s">
        <v>119</v>
      </c>
    </row>
    <row r="41" spans="1:17" ht="22.5" customHeight="1" x14ac:dyDescent="0.2">
      <c r="A41" s="3">
        <v>46097.851355011575</v>
      </c>
      <c r="B41" s="4" t="s">
        <v>104</v>
      </c>
      <c r="C41" s="4" t="s">
        <v>18</v>
      </c>
      <c r="D41" s="4" t="s">
        <v>111</v>
      </c>
      <c r="E41" s="4" t="s">
        <v>28</v>
      </c>
      <c r="F41" s="4" t="s">
        <v>29</v>
      </c>
      <c r="G41" s="4" t="s">
        <v>24</v>
      </c>
      <c r="H41" s="4" t="s">
        <v>22</v>
      </c>
      <c r="I41" s="4" t="s">
        <v>24</v>
      </c>
      <c r="J41" s="4" t="s">
        <v>30</v>
      </c>
      <c r="K41" s="4" t="s">
        <v>24</v>
      </c>
      <c r="L41" s="4" t="s">
        <v>24</v>
      </c>
      <c r="M41" s="4" t="s">
        <v>30</v>
      </c>
      <c r="N41" s="4" t="s">
        <v>24</v>
      </c>
      <c r="O41" s="4" t="s">
        <v>24</v>
      </c>
      <c r="P41" s="4" t="s">
        <v>120</v>
      </c>
      <c r="Q41" s="4" t="s">
        <v>121</v>
      </c>
    </row>
    <row r="42" spans="1:17" ht="22.5" customHeight="1" x14ac:dyDescent="0.2">
      <c r="A42" s="3">
        <v>46097.852055115742</v>
      </c>
      <c r="B42" s="4" t="s">
        <v>104</v>
      </c>
      <c r="C42" s="4" t="s">
        <v>122</v>
      </c>
      <c r="D42" s="4" t="s">
        <v>111</v>
      </c>
      <c r="E42" s="4" t="s">
        <v>56</v>
      </c>
      <c r="F42" s="4" t="s">
        <v>48</v>
      </c>
      <c r="G42" s="4" t="s">
        <v>24</v>
      </c>
      <c r="H42" s="4" t="s">
        <v>24</v>
      </c>
      <c r="I42" s="4" t="s">
        <v>22</v>
      </c>
      <c r="J42" s="4" t="s">
        <v>24</v>
      </c>
      <c r="K42" s="4" t="s">
        <v>22</v>
      </c>
      <c r="L42" s="4" t="s">
        <v>22</v>
      </c>
      <c r="M42" s="4" t="s">
        <v>24</v>
      </c>
      <c r="N42" s="4" t="s">
        <v>22</v>
      </c>
      <c r="O42" s="4" t="s">
        <v>22</v>
      </c>
      <c r="P42" s="4" t="s">
        <v>123</v>
      </c>
      <c r="Q42" s="4" t="s">
        <v>124</v>
      </c>
    </row>
    <row r="43" spans="1:17" ht="22.5" customHeight="1" x14ac:dyDescent="0.2">
      <c r="A43" s="3">
        <v>46097.865742060181</v>
      </c>
      <c r="B43" s="4" t="s">
        <v>125</v>
      </c>
      <c r="C43" s="4" t="s">
        <v>18</v>
      </c>
      <c r="D43" s="4" t="s">
        <v>111</v>
      </c>
      <c r="E43" s="4" t="s">
        <v>20</v>
      </c>
      <c r="F43" s="4" t="s">
        <v>48</v>
      </c>
      <c r="G43" s="4" t="s">
        <v>30</v>
      </c>
      <c r="H43" s="4" t="s">
        <v>24</v>
      </c>
      <c r="I43" s="4" t="s">
        <v>24</v>
      </c>
      <c r="J43" s="4" t="s">
        <v>24</v>
      </c>
      <c r="K43" s="4" t="s">
        <v>24</v>
      </c>
      <c r="L43" s="4" t="s">
        <v>24</v>
      </c>
      <c r="M43" s="4" t="s">
        <v>24</v>
      </c>
      <c r="N43" s="4" t="s">
        <v>24</v>
      </c>
      <c r="O43" s="4" t="s">
        <v>24</v>
      </c>
      <c r="P43" s="4" t="s">
        <v>126</v>
      </c>
      <c r="Q43" s="4" t="s">
        <v>127</v>
      </c>
    </row>
    <row r="44" spans="1:17" ht="22.5" customHeight="1" x14ac:dyDescent="0.2">
      <c r="A44" s="3">
        <v>46097.867506493058</v>
      </c>
      <c r="B44" s="4" t="s">
        <v>104</v>
      </c>
      <c r="C44" s="4" t="s">
        <v>18</v>
      </c>
      <c r="D44" s="4" t="s">
        <v>19</v>
      </c>
      <c r="E44" s="4" t="s">
        <v>28</v>
      </c>
      <c r="F44" s="4" t="s">
        <v>29</v>
      </c>
      <c r="G44" s="4" t="s">
        <v>31</v>
      </c>
      <c r="H44" s="4" t="s">
        <v>24</v>
      </c>
      <c r="I44" s="4" t="s">
        <v>30</v>
      </c>
      <c r="J44" s="4" t="s">
        <v>30</v>
      </c>
      <c r="K44" s="4" t="s">
        <v>23</v>
      </c>
      <c r="L44" s="4" t="s">
        <v>22</v>
      </c>
      <c r="M44" s="4" t="s">
        <v>23</v>
      </c>
      <c r="N44" s="4" t="s">
        <v>23</v>
      </c>
      <c r="O44" s="4" t="s">
        <v>23</v>
      </c>
      <c r="P44" s="4" t="s">
        <v>128</v>
      </c>
      <c r="Q44" s="4" t="s">
        <v>129</v>
      </c>
    </row>
    <row r="45" spans="1:17" ht="22.5" customHeight="1" x14ac:dyDescent="0.2">
      <c r="A45" s="3">
        <v>46105.56544755787</v>
      </c>
      <c r="B45" s="4" t="s">
        <v>104</v>
      </c>
      <c r="C45" s="4" t="s">
        <v>18</v>
      </c>
      <c r="D45" s="4" t="s">
        <v>19</v>
      </c>
      <c r="E45" s="4" t="s">
        <v>20</v>
      </c>
      <c r="F45" s="4" t="s">
        <v>21</v>
      </c>
      <c r="G45" s="4" t="s">
        <v>22</v>
      </c>
      <c r="H45" s="4" t="s">
        <v>24</v>
      </c>
      <c r="I45" s="4" t="s">
        <v>24</v>
      </c>
      <c r="J45" s="4" t="s">
        <v>30</v>
      </c>
      <c r="K45" s="4" t="s">
        <v>22</v>
      </c>
      <c r="L45" s="4" t="s">
        <v>22</v>
      </c>
      <c r="M45" s="4" t="s">
        <v>24</v>
      </c>
      <c r="N45" s="4" t="s">
        <v>24</v>
      </c>
      <c r="O45" s="4" t="s">
        <v>22</v>
      </c>
      <c r="P45" s="4" t="s">
        <v>130</v>
      </c>
      <c r="Q45" s="4" t="s">
        <v>131</v>
      </c>
    </row>
    <row r="46" spans="1:17" ht="22.5" customHeight="1" x14ac:dyDescent="0.2">
      <c r="A46" s="3">
        <v>46127.378093298612</v>
      </c>
      <c r="B46" s="4" t="s">
        <v>66</v>
      </c>
      <c r="C46" s="4" t="s">
        <v>18</v>
      </c>
      <c r="D46" s="4" t="s">
        <v>111</v>
      </c>
      <c r="E46" s="4" t="s">
        <v>28</v>
      </c>
      <c r="F46" s="4" t="s">
        <v>21</v>
      </c>
      <c r="G46" s="4" t="s">
        <v>24</v>
      </c>
      <c r="H46" s="4" t="s">
        <v>22</v>
      </c>
      <c r="I46" s="4" t="s">
        <v>22</v>
      </c>
      <c r="J46" s="4" t="s">
        <v>24</v>
      </c>
      <c r="K46" s="4" t="s">
        <v>23</v>
      </c>
      <c r="L46" s="4" t="s">
        <v>23</v>
      </c>
      <c r="M46" s="4" t="s">
        <v>23</v>
      </c>
      <c r="N46" s="4" t="s">
        <v>22</v>
      </c>
      <c r="O46" s="4" t="s">
        <v>22</v>
      </c>
      <c r="P46" s="4" t="s">
        <v>132</v>
      </c>
      <c r="Q46" s="4" t="s">
        <v>133</v>
      </c>
    </row>
    <row r="47" spans="1:17" ht="22.5" customHeight="1" x14ac:dyDescent="0.2">
      <c r="A47" s="3">
        <v>46127.382306145832</v>
      </c>
      <c r="B47" s="4" t="s">
        <v>125</v>
      </c>
      <c r="C47" s="4" t="s">
        <v>18</v>
      </c>
      <c r="D47" s="4" t="s">
        <v>19</v>
      </c>
      <c r="E47" s="4" t="s">
        <v>20</v>
      </c>
      <c r="F47" s="4" t="s">
        <v>91</v>
      </c>
      <c r="G47" s="4" t="s">
        <v>24</v>
      </c>
      <c r="H47" s="4" t="s">
        <v>22</v>
      </c>
      <c r="I47" s="4" t="s">
        <v>24</v>
      </c>
      <c r="J47" s="4" t="s">
        <v>22</v>
      </c>
      <c r="K47" s="4" t="s">
        <v>22</v>
      </c>
      <c r="L47" s="4" t="s">
        <v>22</v>
      </c>
      <c r="M47" s="4" t="s">
        <v>24</v>
      </c>
      <c r="N47" s="4" t="s">
        <v>24</v>
      </c>
      <c r="O47" s="4" t="s">
        <v>22</v>
      </c>
      <c r="P47" s="4" t="s">
        <v>134</v>
      </c>
      <c r="Q47" s="4" t="s">
        <v>135</v>
      </c>
    </row>
    <row r="48" spans="1:17" ht="22.5" customHeight="1" x14ac:dyDescent="0.2">
      <c r="A48" s="3">
        <v>46127.384342060184</v>
      </c>
      <c r="B48" s="4" t="s">
        <v>136</v>
      </c>
      <c r="C48" s="4" t="s">
        <v>18</v>
      </c>
      <c r="D48" s="4" t="s">
        <v>27</v>
      </c>
      <c r="E48" s="4" t="s">
        <v>56</v>
      </c>
      <c r="F48" s="4" t="s">
        <v>48</v>
      </c>
      <c r="G48" s="4" t="s">
        <v>24</v>
      </c>
      <c r="H48" s="4" t="s">
        <v>24</v>
      </c>
      <c r="I48" s="4" t="s">
        <v>30</v>
      </c>
      <c r="J48" s="4" t="s">
        <v>22</v>
      </c>
      <c r="K48" s="4" t="s">
        <v>22</v>
      </c>
      <c r="L48" s="4" t="s">
        <v>23</v>
      </c>
      <c r="M48" s="4" t="s">
        <v>22</v>
      </c>
      <c r="N48" s="4" t="s">
        <v>22</v>
      </c>
      <c r="O48" s="4" t="s">
        <v>22</v>
      </c>
      <c r="P48" s="4" t="s">
        <v>137</v>
      </c>
      <c r="Q48" s="4" t="s">
        <v>138</v>
      </c>
    </row>
    <row r="49" spans="1:17" ht="22.5" customHeight="1" x14ac:dyDescent="0.2">
      <c r="A49" s="3">
        <v>46127.387591168983</v>
      </c>
      <c r="B49" s="4" t="s">
        <v>136</v>
      </c>
      <c r="C49" s="4" t="s">
        <v>44</v>
      </c>
      <c r="D49" s="4" t="s">
        <v>19</v>
      </c>
      <c r="E49" s="4" t="s">
        <v>56</v>
      </c>
      <c r="F49" s="4" t="s">
        <v>48</v>
      </c>
      <c r="G49" s="4" t="s">
        <v>51</v>
      </c>
      <c r="H49" s="4" t="s">
        <v>22</v>
      </c>
      <c r="I49" s="4" t="s">
        <v>23</v>
      </c>
      <c r="J49" s="4" t="s">
        <v>24</v>
      </c>
      <c r="K49" s="4" t="s">
        <v>23</v>
      </c>
      <c r="L49" s="4" t="s">
        <v>24</v>
      </c>
      <c r="M49" s="4" t="s">
        <v>24</v>
      </c>
      <c r="N49" s="4" t="s">
        <v>24</v>
      </c>
      <c r="O49" s="4" t="s">
        <v>23</v>
      </c>
      <c r="P49" s="4" t="s">
        <v>139</v>
      </c>
      <c r="Q49" s="4" t="s">
        <v>140</v>
      </c>
    </row>
    <row r="50" spans="1:17" ht="22.5" customHeight="1" x14ac:dyDescent="0.2">
      <c r="A50" s="3">
        <v>46127.392179606482</v>
      </c>
      <c r="B50" s="4" t="s">
        <v>66</v>
      </c>
      <c r="C50" s="4" t="s">
        <v>44</v>
      </c>
      <c r="D50" s="4" t="s">
        <v>111</v>
      </c>
      <c r="E50" s="4" t="s">
        <v>20</v>
      </c>
      <c r="F50" s="4" t="s">
        <v>91</v>
      </c>
      <c r="G50" s="4" t="s">
        <v>30</v>
      </c>
      <c r="H50" s="4" t="s">
        <v>30</v>
      </c>
      <c r="I50" s="4" t="s">
        <v>30</v>
      </c>
      <c r="J50" s="4" t="s">
        <v>30</v>
      </c>
      <c r="K50" s="4" t="s">
        <v>30</v>
      </c>
      <c r="L50" s="4" t="s">
        <v>30</v>
      </c>
      <c r="M50" s="4" t="s">
        <v>30</v>
      </c>
      <c r="N50" s="4" t="s">
        <v>30</v>
      </c>
      <c r="O50" s="4" t="s">
        <v>30</v>
      </c>
      <c r="P50" s="4" t="s">
        <v>141</v>
      </c>
      <c r="Q50" s="4" t="s">
        <v>142</v>
      </c>
    </row>
    <row r="51" spans="1:17" ht="22.5" customHeight="1" x14ac:dyDescent="0.2">
      <c r="A51" s="3">
        <v>46127.395070937499</v>
      </c>
      <c r="B51" s="4" t="s">
        <v>47</v>
      </c>
      <c r="C51" s="4" t="s">
        <v>18</v>
      </c>
      <c r="D51" s="4" t="s">
        <v>19</v>
      </c>
      <c r="E51" s="4" t="s">
        <v>56</v>
      </c>
      <c r="F51" s="4" t="s">
        <v>48</v>
      </c>
      <c r="G51" s="4" t="s">
        <v>24</v>
      </c>
      <c r="H51" s="4" t="s">
        <v>24</v>
      </c>
      <c r="I51" s="4" t="s">
        <v>31</v>
      </c>
      <c r="J51" s="4" t="s">
        <v>24</v>
      </c>
      <c r="K51" s="4" t="s">
        <v>24</v>
      </c>
      <c r="L51" s="4" t="s">
        <v>24</v>
      </c>
      <c r="M51" s="4" t="s">
        <v>22</v>
      </c>
      <c r="N51" s="4" t="s">
        <v>22</v>
      </c>
      <c r="O51" s="4" t="s">
        <v>24</v>
      </c>
      <c r="P51" s="4" t="s">
        <v>143</v>
      </c>
      <c r="Q51" s="4" t="s">
        <v>78</v>
      </c>
    </row>
    <row r="52" spans="1:17" ht="22.5" customHeight="1" x14ac:dyDescent="0.2">
      <c r="A52" s="3">
        <v>46127.395635659719</v>
      </c>
      <c r="B52" s="4" t="s">
        <v>107</v>
      </c>
      <c r="C52" s="4" t="s">
        <v>18</v>
      </c>
      <c r="D52" s="4" t="s">
        <v>111</v>
      </c>
      <c r="E52" s="4" t="s">
        <v>28</v>
      </c>
      <c r="F52" s="4" t="s">
        <v>21</v>
      </c>
      <c r="G52" s="4" t="s">
        <v>24</v>
      </c>
      <c r="H52" s="4" t="s">
        <v>30</v>
      </c>
      <c r="I52" s="4" t="s">
        <v>30</v>
      </c>
      <c r="J52" s="4" t="s">
        <v>30</v>
      </c>
      <c r="K52" s="4" t="s">
        <v>24</v>
      </c>
      <c r="L52" s="4" t="s">
        <v>24</v>
      </c>
      <c r="M52" s="4" t="s">
        <v>24</v>
      </c>
      <c r="N52" s="4" t="s">
        <v>30</v>
      </c>
      <c r="O52" s="4" t="s">
        <v>30</v>
      </c>
      <c r="P52" s="4" t="s">
        <v>144</v>
      </c>
      <c r="Q52" s="4" t="s">
        <v>145</v>
      </c>
    </row>
    <row r="53" spans="1:17" ht="22.5" customHeight="1" x14ac:dyDescent="0.2">
      <c r="A53" s="3">
        <v>46127.396829837962</v>
      </c>
      <c r="B53" s="4" t="s">
        <v>17</v>
      </c>
      <c r="C53" s="4" t="s">
        <v>18</v>
      </c>
      <c r="D53" s="4" t="s">
        <v>27</v>
      </c>
      <c r="E53" s="4" t="s">
        <v>36</v>
      </c>
      <c r="F53" s="4" t="s">
        <v>29</v>
      </c>
      <c r="G53" s="4" t="s">
        <v>24</v>
      </c>
      <c r="H53" s="4" t="s">
        <v>24</v>
      </c>
      <c r="I53" s="4" t="s">
        <v>24</v>
      </c>
      <c r="J53" s="4" t="s">
        <v>24</v>
      </c>
      <c r="K53" s="4" t="s">
        <v>24</v>
      </c>
      <c r="L53" s="4" t="s">
        <v>24</v>
      </c>
      <c r="M53" s="4" t="s">
        <v>24</v>
      </c>
      <c r="N53" s="4" t="s">
        <v>24</v>
      </c>
      <c r="O53" s="4" t="s">
        <v>24</v>
      </c>
      <c r="P53" s="4" t="s">
        <v>146</v>
      </c>
      <c r="Q53" s="4" t="s">
        <v>147</v>
      </c>
    </row>
    <row r="54" spans="1:17" ht="22.5" customHeight="1" x14ac:dyDescent="0.2">
      <c r="A54" s="3">
        <v>46127.397266122687</v>
      </c>
      <c r="B54" s="4" t="s">
        <v>148</v>
      </c>
      <c r="C54" s="4" t="s">
        <v>18</v>
      </c>
      <c r="D54" s="4" t="s">
        <v>111</v>
      </c>
      <c r="E54" s="4" t="s">
        <v>20</v>
      </c>
      <c r="F54" s="4" t="s">
        <v>91</v>
      </c>
      <c r="G54" s="4" t="s">
        <v>24</v>
      </c>
      <c r="H54" s="4" t="s">
        <v>24</v>
      </c>
      <c r="I54" s="4" t="s">
        <v>24</v>
      </c>
      <c r="J54" s="4" t="s">
        <v>24</v>
      </c>
      <c r="K54" s="4" t="s">
        <v>24</v>
      </c>
      <c r="L54" s="4" t="s">
        <v>24</v>
      </c>
      <c r="M54" s="4" t="s">
        <v>24</v>
      </c>
      <c r="N54" s="4" t="s">
        <v>24</v>
      </c>
      <c r="O54" s="4" t="s">
        <v>24</v>
      </c>
      <c r="P54" s="4" t="s">
        <v>149</v>
      </c>
      <c r="Q54" s="4" t="s">
        <v>150</v>
      </c>
    </row>
    <row r="55" spans="1:17" ht="22.5" customHeight="1" x14ac:dyDescent="0.2">
      <c r="A55" s="3">
        <v>46127.424560625004</v>
      </c>
      <c r="B55" s="4" t="s">
        <v>17</v>
      </c>
      <c r="C55" s="4" t="s">
        <v>18</v>
      </c>
      <c r="D55" s="4" t="s">
        <v>19</v>
      </c>
      <c r="E55" s="4" t="s">
        <v>36</v>
      </c>
      <c r="F55" s="4" t="s">
        <v>48</v>
      </c>
      <c r="G55" s="4" t="s">
        <v>30</v>
      </c>
      <c r="H55" s="4" t="s">
        <v>22</v>
      </c>
      <c r="I55" s="4" t="s">
        <v>22</v>
      </c>
      <c r="J55" s="4" t="s">
        <v>24</v>
      </c>
      <c r="K55" s="4" t="s">
        <v>23</v>
      </c>
      <c r="L55" s="4" t="s">
        <v>23</v>
      </c>
      <c r="M55" s="4" t="s">
        <v>30</v>
      </c>
      <c r="N55" s="4" t="s">
        <v>23</v>
      </c>
      <c r="O55" s="4" t="s">
        <v>22</v>
      </c>
      <c r="P55" s="4" t="s">
        <v>151</v>
      </c>
      <c r="Q55" s="4" t="s">
        <v>152</v>
      </c>
    </row>
    <row r="56" spans="1:17" ht="22.5" customHeight="1" x14ac:dyDescent="0.2">
      <c r="A56" s="3">
        <v>46127.424878391204</v>
      </c>
      <c r="B56" s="4" t="s">
        <v>148</v>
      </c>
      <c r="C56" s="4" t="s">
        <v>44</v>
      </c>
      <c r="D56" s="4" t="s">
        <v>111</v>
      </c>
      <c r="E56" s="4" t="s">
        <v>20</v>
      </c>
      <c r="F56" s="4" t="s">
        <v>91</v>
      </c>
      <c r="G56" s="4" t="s">
        <v>24</v>
      </c>
      <c r="H56" s="4" t="s">
        <v>24</v>
      </c>
      <c r="I56" s="4" t="s">
        <v>24</v>
      </c>
      <c r="J56" s="4" t="s">
        <v>30</v>
      </c>
      <c r="K56" s="4" t="s">
        <v>24</v>
      </c>
      <c r="L56" s="4" t="s">
        <v>24</v>
      </c>
      <c r="M56" s="4" t="s">
        <v>24</v>
      </c>
      <c r="N56" s="4" t="s">
        <v>24</v>
      </c>
      <c r="O56" s="4" t="s">
        <v>24</v>
      </c>
      <c r="P56" s="4" t="s">
        <v>153</v>
      </c>
      <c r="Q56" s="4" t="s">
        <v>154</v>
      </c>
    </row>
    <row r="57" spans="1:17" ht="22.5" customHeight="1" x14ac:dyDescent="0.2">
      <c r="A57" s="3">
        <v>46127.518062303236</v>
      </c>
      <c r="B57" s="4" t="s">
        <v>17</v>
      </c>
      <c r="C57" s="4" t="s">
        <v>18</v>
      </c>
      <c r="D57" s="4" t="s">
        <v>19</v>
      </c>
      <c r="E57" s="4" t="s">
        <v>39</v>
      </c>
      <c r="F57" s="4" t="s">
        <v>29</v>
      </c>
      <c r="G57" s="4" t="s">
        <v>24</v>
      </c>
      <c r="H57" s="4" t="s">
        <v>24</v>
      </c>
      <c r="I57" s="4" t="s">
        <v>22</v>
      </c>
      <c r="J57" s="4" t="s">
        <v>24</v>
      </c>
      <c r="K57" s="4" t="s">
        <v>23</v>
      </c>
      <c r="L57" s="4" t="s">
        <v>22</v>
      </c>
      <c r="M57" s="4" t="s">
        <v>22</v>
      </c>
      <c r="N57" s="4" t="s">
        <v>24</v>
      </c>
      <c r="O57" s="4" t="s">
        <v>22</v>
      </c>
      <c r="P57" s="4" t="s">
        <v>155</v>
      </c>
      <c r="Q57" s="4" t="s">
        <v>156</v>
      </c>
    </row>
    <row r="58" spans="1:17" ht="22.5" customHeight="1" x14ac:dyDescent="0.2">
      <c r="A58" s="3">
        <v>46127.665872060184</v>
      </c>
      <c r="B58" s="4" t="s">
        <v>107</v>
      </c>
      <c r="C58" s="4" t="s">
        <v>18</v>
      </c>
      <c r="D58" s="4" t="s">
        <v>111</v>
      </c>
      <c r="E58" s="4" t="s">
        <v>28</v>
      </c>
      <c r="F58" s="4" t="s">
        <v>21</v>
      </c>
      <c r="G58" s="4" t="s">
        <v>24</v>
      </c>
      <c r="H58" s="4" t="s">
        <v>24</v>
      </c>
      <c r="I58" s="4" t="s">
        <v>24</v>
      </c>
      <c r="J58" s="4" t="s">
        <v>24</v>
      </c>
      <c r="K58" s="4" t="s">
        <v>24</v>
      </c>
      <c r="L58" s="4" t="s">
        <v>24</v>
      </c>
      <c r="M58" s="4" t="s">
        <v>24</v>
      </c>
      <c r="N58" s="4" t="s">
        <v>24</v>
      </c>
      <c r="O58" s="4" t="s">
        <v>24</v>
      </c>
      <c r="P58" s="4" t="s">
        <v>157</v>
      </c>
      <c r="Q58" s="4" t="s">
        <v>158</v>
      </c>
    </row>
    <row r="59" spans="1:17" ht="22.5" customHeight="1" x14ac:dyDescent="0.2">
      <c r="A59" s="3">
        <v>46127.670453599538</v>
      </c>
      <c r="B59" s="4" t="s">
        <v>125</v>
      </c>
      <c r="C59" s="4" t="s">
        <v>18</v>
      </c>
      <c r="D59" s="4" t="s">
        <v>19</v>
      </c>
      <c r="E59" s="4" t="s">
        <v>56</v>
      </c>
      <c r="F59" s="4" t="s">
        <v>48</v>
      </c>
      <c r="G59" s="4" t="s">
        <v>30</v>
      </c>
      <c r="H59" s="4" t="s">
        <v>24</v>
      </c>
      <c r="I59" s="4" t="s">
        <v>30</v>
      </c>
      <c r="J59" s="4" t="s">
        <v>30</v>
      </c>
      <c r="K59" s="4" t="s">
        <v>24</v>
      </c>
      <c r="L59" s="4" t="s">
        <v>30</v>
      </c>
      <c r="M59" s="4" t="s">
        <v>24</v>
      </c>
      <c r="N59" s="4" t="s">
        <v>24</v>
      </c>
      <c r="O59" s="4" t="s">
        <v>24</v>
      </c>
      <c r="P59" s="4" t="s">
        <v>159</v>
      </c>
      <c r="Q59" s="4" t="s">
        <v>160</v>
      </c>
    </row>
    <row r="60" spans="1:17" ht="22.5" customHeight="1" x14ac:dyDescent="0.2">
      <c r="A60" s="3">
        <v>46128.459115740741</v>
      </c>
      <c r="B60" s="4" t="s">
        <v>47</v>
      </c>
      <c r="C60" s="4" t="s">
        <v>18</v>
      </c>
      <c r="D60" s="4" t="s">
        <v>19</v>
      </c>
      <c r="E60" s="4" t="s">
        <v>28</v>
      </c>
      <c r="F60" s="4" t="s">
        <v>21</v>
      </c>
      <c r="G60" s="4" t="s">
        <v>24</v>
      </c>
      <c r="H60" s="4" t="s">
        <v>22</v>
      </c>
      <c r="I60" s="4" t="s">
        <v>24</v>
      </c>
      <c r="J60" s="4" t="s">
        <v>22</v>
      </c>
      <c r="K60" s="4" t="s">
        <v>24</v>
      </c>
      <c r="L60" s="4" t="s">
        <v>24</v>
      </c>
      <c r="M60" s="4" t="s">
        <v>24</v>
      </c>
      <c r="N60" s="4" t="s">
        <v>24</v>
      </c>
      <c r="O60" s="4" t="s">
        <v>22</v>
      </c>
      <c r="P60" s="4" t="s">
        <v>161</v>
      </c>
      <c r="Q60" s="4" t="s">
        <v>162</v>
      </c>
    </row>
    <row r="61" spans="1:17" ht="22.5" customHeight="1" x14ac:dyDescent="0.2">
      <c r="A61" s="3">
        <v>46128.46005061343</v>
      </c>
      <c r="B61" s="4" t="s">
        <v>47</v>
      </c>
      <c r="C61" s="4" t="s">
        <v>18</v>
      </c>
      <c r="D61" s="4" t="s">
        <v>19</v>
      </c>
      <c r="E61" s="4" t="s">
        <v>28</v>
      </c>
      <c r="F61" s="4" t="s">
        <v>48</v>
      </c>
      <c r="G61" s="4" t="s">
        <v>24</v>
      </c>
      <c r="H61" s="4" t="s">
        <v>22</v>
      </c>
      <c r="I61" s="4" t="s">
        <v>24</v>
      </c>
      <c r="J61" s="4" t="s">
        <v>30</v>
      </c>
      <c r="K61" s="4" t="s">
        <v>24</v>
      </c>
      <c r="L61" s="4" t="s">
        <v>22</v>
      </c>
      <c r="M61" s="4" t="s">
        <v>24</v>
      </c>
      <c r="N61" s="4" t="s">
        <v>22</v>
      </c>
      <c r="O61" s="4" t="s">
        <v>24</v>
      </c>
      <c r="P61" s="4" t="s">
        <v>163</v>
      </c>
      <c r="Q61" s="4" t="s">
        <v>164</v>
      </c>
    </row>
    <row r="62" spans="1:17" ht="22.5" customHeight="1" x14ac:dyDescent="0.2">
      <c r="A62" s="3">
        <v>46128.460512476857</v>
      </c>
      <c r="B62" s="4" t="s">
        <v>47</v>
      </c>
      <c r="C62" s="4" t="s">
        <v>44</v>
      </c>
      <c r="D62" s="4" t="s">
        <v>19</v>
      </c>
      <c r="E62" s="4" t="s">
        <v>56</v>
      </c>
      <c r="F62" s="4" t="s">
        <v>21</v>
      </c>
      <c r="G62" s="4" t="s">
        <v>22</v>
      </c>
      <c r="H62" s="4" t="s">
        <v>24</v>
      </c>
      <c r="I62" s="4" t="s">
        <v>24</v>
      </c>
      <c r="J62" s="4" t="s">
        <v>24</v>
      </c>
      <c r="K62" s="4" t="s">
        <v>24</v>
      </c>
      <c r="L62" s="4" t="s">
        <v>22</v>
      </c>
      <c r="M62" s="4" t="s">
        <v>22</v>
      </c>
      <c r="N62" s="4" t="s">
        <v>24</v>
      </c>
      <c r="O62" s="4" t="s">
        <v>24</v>
      </c>
      <c r="P62" s="4" t="s">
        <v>165</v>
      </c>
      <c r="Q62" s="4" t="s">
        <v>166</v>
      </c>
    </row>
    <row r="63" spans="1:17" ht="22.5" customHeight="1" x14ac:dyDescent="0.2">
      <c r="A63" s="3">
        <v>46128.46068704861</v>
      </c>
      <c r="B63" s="4" t="s">
        <v>136</v>
      </c>
      <c r="C63" s="4" t="s">
        <v>18</v>
      </c>
      <c r="D63" s="4" t="s">
        <v>111</v>
      </c>
      <c r="E63" s="4" t="s">
        <v>20</v>
      </c>
      <c r="F63" s="4" t="s">
        <v>21</v>
      </c>
      <c r="G63" s="4" t="s">
        <v>22</v>
      </c>
      <c r="H63" s="4" t="s">
        <v>22</v>
      </c>
      <c r="I63" s="4" t="s">
        <v>23</v>
      </c>
      <c r="J63" s="4" t="s">
        <v>23</v>
      </c>
      <c r="K63" s="4" t="s">
        <v>24</v>
      </c>
      <c r="L63" s="4" t="s">
        <v>23</v>
      </c>
      <c r="M63" s="4" t="s">
        <v>22</v>
      </c>
      <c r="N63" s="4" t="s">
        <v>23</v>
      </c>
      <c r="O63" s="4" t="s">
        <v>24</v>
      </c>
      <c r="P63" s="4" t="s">
        <v>167</v>
      </c>
      <c r="Q63" s="4" t="s">
        <v>168</v>
      </c>
    </row>
    <row r="64" spans="1:17" ht="22.5" customHeight="1" x14ac:dyDescent="0.2">
      <c r="A64" s="3">
        <v>46128.461331400467</v>
      </c>
      <c r="B64" s="4" t="s">
        <v>107</v>
      </c>
      <c r="C64" s="4" t="s">
        <v>18</v>
      </c>
      <c r="D64" s="4" t="s">
        <v>19</v>
      </c>
      <c r="E64" s="4" t="s">
        <v>56</v>
      </c>
      <c r="F64" s="4" t="s">
        <v>48</v>
      </c>
      <c r="G64" s="4" t="s">
        <v>24</v>
      </c>
      <c r="H64" s="4" t="s">
        <v>24</v>
      </c>
      <c r="I64" s="4" t="s">
        <v>24</v>
      </c>
      <c r="J64" s="4" t="s">
        <v>24</v>
      </c>
      <c r="K64" s="4" t="s">
        <v>24</v>
      </c>
      <c r="L64" s="4" t="s">
        <v>24</v>
      </c>
      <c r="M64" s="4" t="s">
        <v>24</v>
      </c>
      <c r="N64" s="4" t="s">
        <v>24</v>
      </c>
      <c r="O64" s="4" t="s">
        <v>24</v>
      </c>
      <c r="P64" s="4" t="s">
        <v>169</v>
      </c>
      <c r="Q64" s="4" t="s">
        <v>170</v>
      </c>
    </row>
    <row r="65" spans="1:17" ht="22.5" customHeight="1" x14ac:dyDescent="0.2">
      <c r="A65" s="3">
        <v>46128.461940219902</v>
      </c>
      <c r="B65" s="4" t="s">
        <v>104</v>
      </c>
      <c r="C65" s="4" t="s">
        <v>44</v>
      </c>
      <c r="D65" s="4" t="s">
        <v>111</v>
      </c>
      <c r="E65" s="4" t="s">
        <v>28</v>
      </c>
      <c r="F65" s="4" t="s">
        <v>48</v>
      </c>
      <c r="G65" s="4" t="s">
        <v>22</v>
      </c>
      <c r="H65" s="4" t="s">
        <v>24</v>
      </c>
      <c r="I65" s="4" t="s">
        <v>22</v>
      </c>
      <c r="J65" s="4" t="s">
        <v>24</v>
      </c>
      <c r="K65" s="4" t="s">
        <v>22</v>
      </c>
      <c r="L65" s="4" t="s">
        <v>22</v>
      </c>
      <c r="M65" s="4" t="s">
        <v>24</v>
      </c>
      <c r="N65" s="4" t="s">
        <v>22</v>
      </c>
      <c r="O65" s="4" t="s">
        <v>24</v>
      </c>
      <c r="P65" s="4" t="s">
        <v>171</v>
      </c>
      <c r="Q65" s="4" t="s">
        <v>172</v>
      </c>
    </row>
    <row r="66" spans="1:17" ht="22.5" customHeight="1" x14ac:dyDescent="0.2">
      <c r="A66" s="3">
        <v>46131.48979550926</v>
      </c>
      <c r="B66" s="4" t="s">
        <v>148</v>
      </c>
      <c r="C66" s="4" t="s">
        <v>44</v>
      </c>
      <c r="D66" s="4" t="s">
        <v>111</v>
      </c>
      <c r="E66" s="4" t="s">
        <v>28</v>
      </c>
      <c r="F66" s="4" t="s">
        <v>91</v>
      </c>
      <c r="G66" s="4" t="s">
        <v>24</v>
      </c>
      <c r="H66" s="4" t="s">
        <v>24</v>
      </c>
      <c r="I66" s="4" t="s">
        <v>22</v>
      </c>
      <c r="J66" s="4" t="s">
        <v>24</v>
      </c>
      <c r="K66" s="4" t="s">
        <v>24</v>
      </c>
      <c r="L66" s="4" t="s">
        <v>24</v>
      </c>
      <c r="M66" s="4" t="s">
        <v>24</v>
      </c>
      <c r="N66" s="4" t="s">
        <v>22</v>
      </c>
      <c r="O66" s="4" t="s">
        <v>24</v>
      </c>
      <c r="P66" s="4" t="s">
        <v>173</v>
      </c>
      <c r="Q66" s="4" t="s">
        <v>174</v>
      </c>
    </row>
    <row r="67" spans="1:17" ht="22.5" customHeight="1" x14ac:dyDescent="0.2">
      <c r="A67" s="3">
        <v>46131.490666157406</v>
      </c>
      <c r="B67" s="4" t="s">
        <v>66</v>
      </c>
      <c r="C67" s="4" t="s">
        <v>18</v>
      </c>
      <c r="D67" s="4" t="s">
        <v>111</v>
      </c>
      <c r="E67" s="4" t="s">
        <v>28</v>
      </c>
      <c r="F67" s="4" t="s">
        <v>21</v>
      </c>
      <c r="G67" s="4" t="s">
        <v>30</v>
      </c>
      <c r="H67" s="4" t="s">
        <v>24</v>
      </c>
      <c r="I67" s="4" t="s">
        <v>22</v>
      </c>
      <c r="J67" s="4" t="s">
        <v>24</v>
      </c>
      <c r="K67" s="4" t="s">
        <v>23</v>
      </c>
      <c r="L67" s="4" t="s">
        <v>22</v>
      </c>
      <c r="M67" s="4" t="s">
        <v>22</v>
      </c>
      <c r="N67" s="4" t="s">
        <v>24</v>
      </c>
      <c r="O67" s="4" t="s">
        <v>22</v>
      </c>
      <c r="P67" s="4" t="s">
        <v>175</v>
      </c>
      <c r="Q67" s="4" t="s">
        <v>176</v>
      </c>
    </row>
    <row r="68" spans="1:17" ht="22.5" customHeight="1" x14ac:dyDescent="0.2">
      <c r="A68" s="3">
        <v>46131.492595497686</v>
      </c>
      <c r="B68" s="4" t="s">
        <v>107</v>
      </c>
      <c r="C68" s="4" t="s">
        <v>44</v>
      </c>
      <c r="D68" s="4" t="s">
        <v>19</v>
      </c>
      <c r="E68" s="4" t="s">
        <v>28</v>
      </c>
      <c r="F68" s="4" t="s">
        <v>21</v>
      </c>
      <c r="G68" s="4" t="s">
        <v>22</v>
      </c>
      <c r="H68" s="4" t="s">
        <v>23</v>
      </c>
      <c r="I68" s="4" t="s">
        <v>22</v>
      </c>
      <c r="J68" s="4" t="s">
        <v>24</v>
      </c>
      <c r="K68" s="4" t="s">
        <v>23</v>
      </c>
      <c r="L68" s="4" t="s">
        <v>23</v>
      </c>
      <c r="M68" s="4" t="s">
        <v>22</v>
      </c>
      <c r="N68" s="4" t="s">
        <v>23</v>
      </c>
      <c r="O68" s="4" t="s">
        <v>23</v>
      </c>
      <c r="P68" s="4" t="s">
        <v>177</v>
      </c>
      <c r="Q68" s="4" t="s">
        <v>178</v>
      </c>
    </row>
    <row r="69" spans="1:17" ht="22.5" customHeight="1" x14ac:dyDescent="0.2">
      <c r="A69" s="3">
        <v>46131.493255150461</v>
      </c>
      <c r="B69" s="4" t="s">
        <v>148</v>
      </c>
      <c r="C69" s="4" t="s">
        <v>18</v>
      </c>
      <c r="D69" s="4" t="s">
        <v>111</v>
      </c>
      <c r="E69" s="4" t="s">
        <v>20</v>
      </c>
      <c r="F69" s="4" t="s">
        <v>91</v>
      </c>
      <c r="G69" s="4" t="s">
        <v>24</v>
      </c>
      <c r="H69" s="4" t="s">
        <v>24</v>
      </c>
      <c r="I69" s="4" t="s">
        <v>30</v>
      </c>
      <c r="J69" s="4" t="s">
        <v>30</v>
      </c>
      <c r="K69" s="4" t="s">
        <v>24</v>
      </c>
      <c r="L69" s="4" t="s">
        <v>24</v>
      </c>
      <c r="M69" s="4" t="s">
        <v>30</v>
      </c>
      <c r="N69" s="4" t="s">
        <v>24</v>
      </c>
      <c r="O69" s="4" t="s">
        <v>30</v>
      </c>
      <c r="P69" s="4" t="s">
        <v>179</v>
      </c>
      <c r="Q69" s="4" t="s">
        <v>180</v>
      </c>
    </row>
    <row r="70" spans="1:17" ht="22.5" customHeight="1" x14ac:dyDescent="0.2">
      <c r="A70" s="3">
        <v>46131.493938946762</v>
      </c>
      <c r="B70" s="4" t="s">
        <v>66</v>
      </c>
      <c r="C70" s="4" t="s">
        <v>44</v>
      </c>
      <c r="D70" s="4" t="s">
        <v>111</v>
      </c>
      <c r="E70" s="4" t="s">
        <v>28</v>
      </c>
      <c r="F70" s="4" t="s">
        <v>21</v>
      </c>
      <c r="G70" s="4" t="s">
        <v>30</v>
      </c>
      <c r="H70" s="4" t="s">
        <v>22</v>
      </c>
      <c r="I70" s="4" t="s">
        <v>24</v>
      </c>
      <c r="J70" s="4" t="s">
        <v>24</v>
      </c>
      <c r="K70" s="4" t="s">
        <v>22</v>
      </c>
      <c r="L70" s="4" t="s">
        <v>22</v>
      </c>
      <c r="M70" s="4" t="s">
        <v>24</v>
      </c>
      <c r="N70" s="4" t="s">
        <v>22</v>
      </c>
      <c r="O70" s="4" t="s">
        <v>22</v>
      </c>
      <c r="P70" s="4" t="s">
        <v>181</v>
      </c>
      <c r="Q70" s="4" t="s">
        <v>182</v>
      </c>
    </row>
    <row r="71" spans="1:17" ht="22.5" customHeight="1" x14ac:dyDescent="0.2">
      <c r="A71" s="3">
        <v>46131.494987939819</v>
      </c>
      <c r="B71" s="4" t="s">
        <v>107</v>
      </c>
      <c r="C71" s="4" t="s">
        <v>18</v>
      </c>
      <c r="D71" s="4" t="s">
        <v>111</v>
      </c>
      <c r="E71" s="4" t="s">
        <v>56</v>
      </c>
      <c r="F71" s="4" t="s">
        <v>48</v>
      </c>
      <c r="G71" s="4" t="s">
        <v>22</v>
      </c>
      <c r="H71" s="4" t="s">
        <v>22</v>
      </c>
      <c r="I71" s="4" t="s">
        <v>22</v>
      </c>
      <c r="J71" s="4" t="s">
        <v>24</v>
      </c>
      <c r="K71" s="4" t="s">
        <v>23</v>
      </c>
      <c r="L71" s="4" t="s">
        <v>23</v>
      </c>
      <c r="M71" s="4" t="s">
        <v>22</v>
      </c>
      <c r="N71" s="4" t="s">
        <v>23</v>
      </c>
      <c r="O71" s="4" t="s">
        <v>23</v>
      </c>
      <c r="P71" s="4" t="s">
        <v>183</v>
      </c>
      <c r="Q71" s="4" t="s">
        <v>184</v>
      </c>
    </row>
    <row r="72" spans="1:17" ht="22.5" customHeight="1" x14ac:dyDescent="0.2">
      <c r="A72" s="3">
        <v>46131.495669201387</v>
      </c>
      <c r="B72" s="4" t="s">
        <v>148</v>
      </c>
      <c r="C72" s="4" t="s">
        <v>44</v>
      </c>
      <c r="D72" s="4" t="s">
        <v>111</v>
      </c>
      <c r="E72" s="4" t="s">
        <v>20</v>
      </c>
      <c r="F72" s="4" t="s">
        <v>91</v>
      </c>
      <c r="G72" s="4" t="s">
        <v>24</v>
      </c>
      <c r="H72" s="4" t="s">
        <v>24</v>
      </c>
      <c r="I72" s="4" t="s">
        <v>24</v>
      </c>
      <c r="J72" s="4" t="s">
        <v>30</v>
      </c>
      <c r="K72" s="4" t="s">
        <v>22</v>
      </c>
      <c r="L72" s="4" t="s">
        <v>24</v>
      </c>
      <c r="M72" s="4" t="s">
        <v>24</v>
      </c>
      <c r="N72" s="4" t="s">
        <v>22</v>
      </c>
      <c r="O72" s="4" t="s">
        <v>24</v>
      </c>
      <c r="P72" s="4" t="s">
        <v>185</v>
      </c>
      <c r="Q72" s="4" t="s">
        <v>186</v>
      </c>
    </row>
    <row r="73" spans="1:17" ht="22.5" customHeight="1" x14ac:dyDescent="0.2">
      <c r="A73" s="3">
        <v>46131.496995092588</v>
      </c>
      <c r="B73" s="4" t="s">
        <v>66</v>
      </c>
      <c r="C73" s="4" t="s">
        <v>18</v>
      </c>
      <c r="D73" s="4" t="s">
        <v>111</v>
      </c>
      <c r="E73" s="4" t="s">
        <v>28</v>
      </c>
      <c r="F73" s="4" t="s">
        <v>48</v>
      </c>
      <c r="G73" s="4" t="s">
        <v>30</v>
      </c>
      <c r="H73" s="4" t="s">
        <v>24</v>
      </c>
      <c r="I73" s="4" t="s">
        <v>22</v>
      </c>
      <c r="J73" s="4" t="s">
        <v>24</v>
      </c>
      <c r="K73" s="4" t="s">
        <v>22</v>
      </c>
      <c r="L73" s="4" t="s">
        <v>22</v>
      </c>
      <c r="M73" s="4" t="s">
        <v>22</v>
      </c>
      <c r="N73" s="4" t="s">
        <v>22</v>
      </c>
      <c r="O73" s="4" t="s">
        <v>22</v>
      </c>
      <c r="P73" s="4" t="s">
        <v>187</v>
      </c>
      <c r="Q73" s="4" t="s">
        <v>188</v>
      </c>
    </row>
    <row r="74" spans="1:17" ht="22.5" customHeight="1" x14ac:dyDescent="0.2">
      <c r="A74" s="3">
        <v>46131.497639953704</v>
      </c>
      <c r="B74" s="4" t="s">
        <v>107</v>
      </c>
      <c r="C74" s="4" t="s">
        <v>44</v>
      </c>
      <c r="D74" s="4" t="s">
        <v>19</v>
      </c>
      <c r="E74" s="4" t="s">
        <v>28</v>
      </c>
      <c r="F74" s="4" t="s">
        <v>21</v>
      </c>
      <c r="G74" s="4" t="s">
        <v>22</v>
      </c>
      <c r="H74" s="4" t="s">
        <v>23</v>
      </c>
      <c r="I74" s="4" t="s">
        <v>23</v>
      </c>
      <c r="J74" s="4" t="s">
        <v>22</v>
      </c>
      <c r="K74" s="4" t="s">
        <v>23</v>
      </c>
      <c r="L74" s="4" t="s">
        <v>23</v>
      </c>
      <c r="M74" s="4" t="s">
        <v>23</v>
      </c>
      <c r="N74" s="4" t="s">
        <v>23</v>
      </c>
      <c r="O74" s="4" t="s">
        <v>23</v>
      </c>
      <c r="P74" s="4" t="s">
        <v>189</v>
      </c>
      <c r="Q74" s="4" t="s">
        <v>190</v>
      </c>
    </row>
    <row r="75" spans="1:17" ht="22.5" customHeight="1" x14ac:dyDescent="0.2">
      <c r="A75" s="3">
        <v>46131.498296215279</v>
      </c>
      <c r="B75" s="4" t="s">
        <v>148</v>
      </c>
      <c r="C75" s="4" t="s">
        <v>18</v>
      </c>
      <c r="D75" s="4" t="s">
        <v>111</v>
      </c>
      <c r="E75" s="4" t="s">
        <v>20</v>
      </c>
      <c r="F75" s="4" t="s">
        <v>21</v>
      </c>
      <c r="G75" s="4" t="s">
        <v>24</v>
      </c>
      <c r="H75" s="4" t="s">
        <v>24</v>
      </c>
      <c r="I75" s="4" t="s">
        <v>24</v>
      </c>
      <c r="J75" s="4" t="s">
        <v>30</v>
      </c>
      <c r="K75" s="4" t="s">
        <v>22</v>
      </c>
      <c r="L75" s="4" t="s">
        <v>24</v>
      </c>
      <c r="M75" s="4" t="s">
        <v>24</v>
      </c>
      <c r="N75" s="4" t="s">
        <v>24</v>
      </c>
      <c r="O75" s="4" t="s">
        <v>24</v>
      </c>
      <c r="P75" s="4" t="s">
        <v>191</v>
      </c>
      <c r="Q75" s="4" t="s">
        <v>192</v>
      </c>
    </row>
    <row r="76" spans="1:17" ht="22.5" customHeight="1" x14ac:dyDescent="0.2">
      <c r="A76" s="3">
        <v>46131.535916504625</v>
      </c>
      <c r="B76" s="4" t="s">
        <v>66</v>
      </c>
      <c r="C76" s="4" t="s">
        <v>44</v>
      </c>
      <c r="D76" s="4" t="s">
        <v>111</v>
      </c>
      <c r="E76" s="4" t="s">
        <v>56</v>
      </c>
      <c r="F76" s="4" t="s">
        <v>91</v>
      </c>
      <c r="G76" s="4" t="s">
        <v>24</v>
      </c>
      <c r="H76" s="4" t="s">
        <v>22</v>
      </c>
      <c r="I76" s="4" t="s">
        <v>24</v>
      </c>
      <c r="J76" s="4" t="s">
        <v>30</v>
      </c>
      <c r="K76" s="4" t="s">
        <v>22</v>
      </c>
      <c r="L76" s="4" t="s">
        <v>23</v>
      </c>
      <c r="M76" s="4" t="s">
        <v>30</v>
      </c>
      <c r="N76" s="4" t="s">
        <v>31</v>
      </c>
      <c r="O76" s="4" t="s">
        <v>24</v>
      </c>
      <c r="P76" s="4" t="s">
        <v>193</v>
      </c>
      <c r="Q76" s="4" t="s">
        <v>194</v>
      </c>
    </row>
    <row r="77" spans="1:17" ht="22.5" customHeight="1" x14ac:dyDescent="0.2">
      <c r="A77" s="3">
        <v>46131.537408692129</v>
      </c>
      <c r="B77" s="4" t="s">
        <v>47</v>
      </c>
      <c r="C77" s="4" t="s">
        <v>18</v>
      </c>
      <c r="D77" s="4" t="s">
        <v>27</v>
      </c>
      <c r="E77" s="4" t="s">
        <v>56</v>
      </c>
      <c r="F77" s="4" t="s">
        <v>29</v>
      </c>
      <c r="G77" s="4" t="s">
        <v>24</v>
      </c>
      <c r="H77" s="4" t="s">
        <v>22</v>
      </c>
      <c r="I77" s="4" t="s">
        <v>24</v>
      </c>
      <c r="J77" s="4" t="s">
        <v>24</v>
      </c>
      <c r="K77" s="4" t="s">
        <v>22</v>
      </c>
      <c r="L77" s="4" t="s">
        <v>22</v>
      </c>
      <c r="M77" s="4" t="s">
        <v>24</v>
      </c>
      <c r="N77" s="4" t="s">
        <v>22</v>
      </c>
      <c r="O77" s="4" t="s">
        <v>24</v>
      </c>
      <c r="P77" s="4" t="s">
        <v>195</v>
      </c>
    </row>
    <row r="78" spans="1:17" ht="22.5" customHeight="1" x14ac:dyDescent="0.2">
      <c r="A78" s="3">
        <v>46131.542918506944</v>
      </c>
      <c r="B78" s="4" t="s">
        <v>148</v>
      </c>
      <c r="C78" s="4" t="s">
        <v>122</v>
      </c>
      <c r="D78" s="4" t="s">
        <v>111</v>
      </c>
      <c r="E78" s="4" t="s">
        <v>28</v>
      </c>
      <c r="F78" s="4" t="s">
        <v>21</v>
      </c>
      <c r="G78" s="4" t="s">
        <v>24</v>
      </c>
      <c r="H78" s="4" t="s">
        <v>24</v>
      </c>
      <c r="I78" s="4" t="s">
        <v>30</v>
      </c>
      <c r="J78" s="4" t="s">
        <v>24</v>
      </c>
      <c r="K78" s="4" t="s">
        <v>22</v>
      </c>
      <c r="L78" s="4" t="s">
        <v>23</v>
      </c>
      <c r="M78" s="4" t="s">
        <v>22</v>
      </c>
      <c r="N78" s="4" t="s">
        <v>22</v>
      </c>
      <c r="O78" s="4" t="s">
        <v>22</v>
      </c>
      <c r="P78" s="4" t="s">
        <v>196</v>
      </c>
    </row>
    <row r="79" spans="1:17" ht="22.5" customHeight="1" x14ac:dyDescent="0.2">
      <c r="A79" s="3">
        <v>46131.544475648145</v>
      </c>
      <c r="B79" s="4" t="s">
        <v>148</v>
      </c>
      <c r="C79" s="4" t="s">
        <v>44</v>
      </c>
      <c r="D79" s="4" t="s">
        <v>111</v>
      </c>
      <c r="E79" s="4" t="s">
        <v>28</v>
      </c>
      <c r="F79" s="4" t="s">
        <v>91</v>
      </c>
      <c r="G79" s="4" t="s">
        <v>22</v>
      </c>
      <c r="H79" s="4" t="s">
        <v>24</v>
      </c>
      <c r="I79" s="4" t="s">
        <v>24</v>
      </c>
      <c r="J79" s="4" t="s">
        <v>22</v>
      </c>
      <c r="K79" s="4" t="s">
        <v>24</v>
      </c>
      <c r="L79" s="4" t="s">
        <v>22</v>
      </c>
      <c r="M79" s="4" t="s">
        <v>23</v>
      </c>
      <c r="N79" s="4" t="s">
        <v>22</v>
      </c>
      <c r="O79" s="4" t="s">
        <v>22</v>
      </c>
      <c r="P79" s="4" t="s">
        <v>197</v>
      </c>
    </row>
    <row r="80" spans="1:17" ht="22.5" customHeight="1" x14ac:dyDescent="0.2">
      <c r="A80" s="3">
        <v>46131.550159594903</v>
      </c>
      <c r="B80" s="4" t="s">
        <v>107</v>
      </c>
      <c r="C80" s="4" t="s">
        <v>18</v>
      </c>
      <c r="D80" s="4" t="s">
        <v>19</v>
      </c>
      <c r="E80" s="4" t="s">
        <v>28</v>
      </c>
      <c r="F80" s="4" t="s">
        <v>48</v>
      </c>
      <c r="G80" s="4" t="s">
        <v>30</v>
      </c>
      <c r="H80" s="4" t="s">
        <v>30</v>
      </c>
      <c r="I80" s="4" t="s">
        <v>30</v>
      </c>
      <c r="J80" s="4" t="s">
        <v>30</v>
      </c>
      <c r="K80" s="4" t="s">
        <v>24</v>
      </c>
      <c r="L80" s="4" t="s">
        <v>30</v>
      </c>
      <c r="M80" s="4" t="s">
        <v>24</v>
      </c>
      <c r="N80" s="4" t="s">
        <v>24</v>
      </c>
      <c r="O80" s="4" t="s">
        <v>24</v>
      </c>
      <c r="P80" s="4" t="s">
        <v>198</v>
      </c>
    </row>
    <row r="81" spans="1:17" ht="22.5" customHeight="1" x14ac:dyDescent="0.2">
      <c r="A81" s="3">
        <v>46131.552719629632</v>
      </c>
      <c r="B81" s="4" t="s">
        <v>125</v>
      </c>
      <c r="C81" s="4" t="s">
        <v>18</v>
      </c>
      <c r="D81" s="4" t="s">
        <v>19</v>
      </c>
      <c r="E81" s="4" t="s">
        <v>28</v>
      </c>
      <c r="F81" s="4" t="s">
        <v>21</v>
      </c>
      <c r="G81" s="4" t="s">
        <v>24</v>
      </c>
      <c r="H81" s="4" t="s">
        <v>24</v>
      </c>
      <c r="I81" s="4" t="s">
        <v>30</v>
      </c>
      <c r="J81" s="4" t="s">
        <v>30</v>
      </c>
      <c r="K81" s="4" t="s">
        <v>30</v>
      </c>
      <c r="L81" s="4" t="s">
        <v>24</v>
      </c>
      <c r="M81" s="4" t="s">
        <v>24</v>
      </c>
      <c r="N81" s="4" t="s">
        <v>22</v>
      </c>
      <c r="O81" s="4" t="s">
        <v>22</v>
      </c>
      <c r="P81" s="4" t="s">
        <v>199</v>
      </c>
    </row>
    <row r="82" spans="1:17" ht="22.5" customHeight="1" x14ac:dyDescent="0.2">
      <c r="A82" s="3">
        <v>46131.555245127311</v>
      </c>
      <c r="B82" s="4" t="s">
        <v>66</v>
      </c>
      <c r="C82" s="4" t="s">
        <v>44</v>
      </c>
      <c r="D82" s="4" t="s">
        <v>111</v>
      </c>
      <c r="E82" s="4" t="s">
        <v>20</v>
      </c>
      <c r="F82" s="4" t="s">
        <v>21</v>
      </c>
      <c r="G82" s="4" t="s">
        <v>30</v>
      </c>
      <c r="H82" s="4" t="s">
        <v>30</v>
      </c>
      <c r="I82" s="4" t="s">
        <v>30</v>
      </c>
      <c r="J82" s="4" t="s">
        <v>30</v>
      </c>
      <c r="K82" s="4" t="s">
        <v>30</v>
      </c>
      <c r="L82" s="4" t="s">
        <v>24</v>
      </c>
      <c r="M82" s="4" t="s">
        <v>24</v>
      </c>
      <c r="N82" s="4" t="s">
        <v>24</v>
      </c>
      <c r="O82" s="4" t="s">
        <v>24</v>
      </c>
      <c r="P82" s="4" t="s">
        <v>200</v>
      </c>
    </row>
    <row r="83" spans="1:17" ht="22.5" customHeight="1" x14ac:dyDescent="0.2">
      <c r="A83" s="3">
        <v>46131.556300219905</v>
      </c>
      <c r="B83" s="4" t="s">
        <v>107</v>
      </c>
      <c r="C83" s="4" t="s">
        <v>44</v>
      </c>
      <c r="D83" s="4" t="s">
        <v>111</v>
      </c>
      <c r="E83" s="4" t="s">
        <v>28</v>
      </c>
      <c r="F83" s="4" t="s">
        <v>91</v>
      </c>
      <c r="G83" s="4" t="s">
        <v>24</v>
      </c>
      <c r="H83" s="4" t="s">
        <v>24</v>
      </c>
      <c r="I83" s="4" t="s">
        <v>24</v>
      </c>
      <c r="J83" s="4" t="s">
        <v>24</v>
      </c>
      <c r="K83" s="4" t="s">
        <v>22</v>
      </c>
      <c r="L83" s="4" t="s">
        <v>22</v>
      </c>
      <c r="M83" s="4" t="s">
        <v>22</v>
      </c>
      <c r="N83" s="4" t="s">
        <v>22</v>
      </c>
      <c r="O83" s="4" t="s">
        <v>22</v>
      </c>
      <c r="P83" s="4" t="s">
        <v>201</v>
      </c>
    </row>
    <row r="84" spans="1:17" ht="22.5" customHeight="1" x14ac:dyDescent="0.2">
      <c r="A84" s="3">
        <v>46131.577474155092</v>
      </c>
      <c r="B84" s="4" t="s">
        <v>148</v>
      </c>
      <c r="C84" s="4" t="s">
        <v>18</v>
      </c>
      <c r="D84" s="4" t="s">
        <v>111</v>
      </c>
      <c r="E84" s="4" t="s">
        <v>28</v>
      </c>
      <c r="F84" s="4" t="s">
        <v>91</v>
      </c>
      <c r="G84" s="4" t="s">
        <v>24</v>
      </c>
      <c r="H84" s="4" t="s">
        <v>24</v>
      </c>
      <c r="I84" s="4" t="s">
        <v>24</v>
      </c>
      <c r="J84" s="4" t="s">
        <v>24</v>
      </c>
      <c r="K84" s="4" t="s">
        <v>24</v>
      </c>
      <c r="L84" s="4" t="s">
        <v>24</v>
      </c>
      <c r="M84" s="4" t="s">
        <v>22</v>
      </c>
      <c r="N84" s="4" t="s">
        <v>22</v>
      </c>
      <c r="O84" s="4" t="s">
        <v>22</v>
      </c>
      <c r="P84" s="4" t="s">
        <v>202</v>
      </c>
    </row>
    <row r="85" spans="1:17" ht="22.5" customHeight="1" x14ac:dyDescent="0.2">
      <c r="A85" s="3">
        <v>46131.596554189819</v>
      </c>
      <c r="B85" s="4" t="s">
        <v>66</v>
      </c>
      <c r="C85" s="4" t="s">
        <v>44</v>
      </c>
      <c r="D85" s="4" t="s">
        <v>111</v>
      </c>
      <c r="E85" s="4" t="s">
        <v>28</v>
      </c>
      <c r="F85" s="4" t="s">
        <v>91</v>
      </c>
      <c r="G85" s="4" t="s">
        <v>22</v>
      </c>
      <c r="H85" s="4" t="s">
        <v>24</v>
      </c>
      <c r="I85" s="4" t="s">
        <v>22</v>
      </c>
      <c r="J85" s="4" t="s">
        <v>22</v>
      </c>
      <c r="K85" s="4" t="s">
        <v>22</v>
      </c>
      <c r="L85" s="4" t="s">
        <v>24</v>
      </c>
      <c r="M85" s="4" t="s">
        <v>22</v>
      </c>
      <c r="N85" s="4" t="s">
        <v>24</v>
      </c>
      <c r="O85" s="4" t="s">
        <v>22</v>
      </c>
      <c r="P85" s="4" t="s">
        <v>203</v>
      </c>
    </row>
    <row r="86" spans="1:17" ht="22.5" customHeight="1" x14ac:dyDescent="0.2">
      <c r="A86" s="3">
        <v>46131.607534780094</v>
      </c>
      <c r="B86" s="4" t="s">
        <v>66</v>
      </c>
      <c r="C86" s="4" t="s">
        <v>44</v>
      </c>
      <c r="D86" s="4" t="s">
        <v>111</v>
      </c>
      <c r="E86" s="4" t="s">
        <v>28</v>
      </c>
      <c r="F86" s="4" t="s">
        <v>91</v>
      </c>
      <c r="G86" s="4" t="s">
        <v>30</v>
      </c>
      <c r="H86" s="4" t="s">
        <v>24</v>
      </c>
      <c r="I86" s="4" t="s">
        <v>24</v>
      </c>
      <c r="J86" s="4" t="s">
        <v>23</v>
      </c>
      <c r="K86" s="4" t="s">
        <v>24</v>
      </c>
      <c r="L86" s="4" t="s">
        <v>22</v>
      </c>
      <c r="M86" s="4" t="s">
        <v>22</v>
      </c>
      <c r="N86" s="4" t="s">
        <v>24</v>
      </c>
      <c r="O86" s="4" t="s">
        <v>22</v>
      </c>
      <c r="P86" s="4" t="s">
        <v>204</v>
      </c>
    </row>
    <row r="87" spans="1:17" ht="22.5" customHeight="1" x14ac:dyDescent="0.2">
      <c r="A87" s="3">
        <v>46132.393157951388</v>
      </c>
      <c r="B87" s="4" t="s">
        <v>104</v>
      </c>
      <c r="C87" s="4" t="s">
        <v>44</v>
      </c>
      <c r="D87" s="4" t="s">
        <v>19</v>
      </c>
      <c r="E87" s="4" t="s">
        <v>39</v>
      </c>
      <c r="F87" s="4" t="s">
        <v>48</v>
      </c>
      <c r="G87" s="4" t="s">
        <v>24</v>
      </c>
      <c r="H87" s="4" t="s">
        <v>22</v>
      </c>
      <c r="I87" s="4" t="s">
        <v>24</v>
      </c>
      <c r="J87" s="4" t="s">
        <v>31</v>
      </c>
      <c r="K87" s="4" t="s">
        <v>24</v>
      </c>
      <c r="L87" s="4" t="s">
        <v>24</v>
      </c>
      <c r="M87" s="4" t="s">
        <v>24</v>
      </c>
      <c r="N87" s="4" t="s">
        <v>22</v>
      </c>
      <c r="O87" s="4" t="s">
        <v>22</v>
      </c>
      <c r="P87" s="4" t="s">
        <v>205</v>
      </c>
      <c r="Q87" s="4" t="s">
        <v>206</v>
      </c>
    </row>
    <row r="88" spans="1:17" ht="22.5" customHeight="1" x14ac:dyDescent="0.2">
      <c r="A88" s="3">
        <v>46132.393170324074</v>
      </c>
      <c r="B88" s="4" t="s">
        <v>47</v>
      </c>
      <c r="C88" s="4" t="s">
        <v>18</v>
      </c>
      <c r="D88" s="4" t="s">
        <v>19</v>
      </c>
      <c r="E88" s="4" t="s">
        <v>20</v>
      </c>
      <c r="F88" s="4" t="s">
        <v>29</v>
      </c>
      <c r="G88" s="4" t="s">
        <v>24</v>
      </c>
      <c r="H88" s="4" t="s">
        <v>24</v>
      </c>
      <c r="I88" s="4" t="s">
        <v>31</v>
      </c>
      <c r="J88" s="4" t="s">
        <v>31</v>
      </c>
      <c r="K88" s="4" t="s">
        <v>24</v>
      </c>
      <c r="L88" s="4" t="s">
        <v>24</v>
      </c>
      <c r="M88" s="4" t="s">
        <v>24</v>
      </c>
      <c r="N88" s="4" t="s">
        <v>24</v>
      </c>
      <c r="O88" s="4" t="s">
        <v>24</v>
      </c>
      <c r="P88" s="4" t="s">
        <v>207</v>
      </c>
      <c r="Q88" s="4" t="s">
        <v>208</v>
      </c>
    </row>
    <row r="89" spans="1:17" ht="22.5" customHeight="1" x14ac:dyDescent="0.2">
      <c r="A89" s="3">
        <v>46132.393833009264</v>
      </c>
      <c r="B89" s="4" t="s">
        <v>47</v>
      </c>
      <c r="C89" s="4" t="s">
        <v>18</v>
      </c>
      <c r="D89" s="4" t="s">
        <v>19</v>
      </c>
      <c r="E89" s="4" t="s">
        <v>56</v>
      </c>
      <c r="F89" s="4" t="s">
        <v>29</v>
      </c>
      <c r="G89" s="4" t="s">
        <v>51</v>
      </c>
      <c r="H89" s="4" t="s">
        <v>23</v>
      </c>
      <c r="I89" s="4" t="s">
        <v>22</v>
      </c>
      <c r="J89" s="4" t="s">
        <v>24</v>
      </c>
      <c r="K89" s="4" t="s">
        <v>23</v>
      </c>
      <c r="L89" s="4" t="s">
        <v>23</v>
      </c>
      <c r="M89" s="4" t="s">
        <v>23</v>
      </c>
      <c r="N89" s="4" t="s">
        <v>23</v>
      </c>
      <c r="O89" s="4" t="s">
        <v>23</v>
      </c>
      <c r="P89" s="4" t="s">
        <v>209</v>
      </c>
      <c r="Q89" s="4" t="s">
        <v>210</v>
      </c>
    </row>
    <row r="90" spans="1:17" ht="22.5" customHeight="1" x14ac:dyDescent="0.2">
      <c r="A90" s="3">
        <v>46132.394057106481</v>
      </c>
      <c r="B90" s="4" t="s">
        <v>104</v>
      </c>
      <c r="C90" s="4" t="s">
        <v>44</v>
      </c>
      <c r="D90" s="4" t="s">
        <v>111</v>
      </c>
      <c r="E90" s="4" t="s">
        <v>20</v>
      </c>
      <c r="F90" s="4" t="s">
        <v>91</v>
      </c>
      <c r="G90" s="4" t="s">
        <v>31</v>
      </c>
      <c r="H90" s="4" t="s">
        <v>22</v>
      </c>
      <c r="I90" s="4" t="s">
        <v>30</v>
      </c>
      <c r="J90" s="4" t="s">
        <v>24</v>
      </c>
      <c r="K90" s="4" t="s">
        <v>23</v>
      </c>
      <c r="L90" s="4" t="s">
        <v>22</v>
      </c>
      <c r="M90" s="4" t="s">
        <v>24</v>
      </c>
      <c r="N90" s="4" t="s">
        <v>22</v>
      </c>
      <c r="O90" s="4" t="s">
        <v>23</v>
      </c>
      <c r="P90" s="4" t="s">
        <v>211</v>
      </c>
      <c r="Q90" s="4" t="s">
        <v>212</v>
      </c>
    </row>
    <row r="91" spans="1:17" ht="22.5" customHeight="1" x14ac:dyDescent="0.2">
      <c r="A91" s="3">
        <v>46132.394716446761</v>
      </c>
      <c r="B91" s="4" t="s">
        <v>104</v>
      </c>
      <c r="C91" s="4" t="s">
        <v>44</v>
      </c>
      <c r="D91" s="4" t="s">
        <v>111</v>
      </c>
      <c r="E91" s="4" t="s">
        <v>20</v>
      </c>
      <c r="F91" s="4" t="s">
        <v>21</v>
      </c>
      <c r="G91" s="4" t="s">
        <v>24</v>
      </c>
      <c r="H91" s="4" t="s">
        <v>30</v>
      </c>
      <c r="I91" s="4" t="s">
        <v>24</v>
      </c>
      <c r="J91" s="4" t="s">
        <v>30</v>
      </c>
      <c r="K91" s="4" t="s">
        <v>24</v>
      </c>
      <c r="L91" s="4" t="s">
        <v>22</v>
      </c>
      <c r="M91" s="4" t="s">
        <v>24</v>
      </c>
      <c r="N91" s="4" t="s">
        <v>23</v>
      </c>
      <c r="O91" s="4" t="s">
        <v>24</v>
      </c>
      <c r="P91" s="4" t="s">
        <v>213</v>
      </c>
      <c r="Q91" s="4" t="s">
        <v>214</v>
      </c>
    </row>
    <row r="92" spans="1:17" ht="22.5" customHeight="1" x14ac:dyDescent="0.2">
      <c r="A92" s="3">
        <v>46132.395259861107</v>
      </c>
      <c r="B92" s="4" t="s">
        <v>17</v>
      </c>
      <c r="C92" s="4" t="s">
        <v>18</v>
      </c>
      <c r="D92" s="4" t="s">
        <v>19</v>
      </c>
      <c r="E92" s="4" t="s">
        <v>36</v>
      </c>
      <c r="F92" s="4" t="s">
        <v>48</v>
      </c>
      <c r="G92" s="4" t="s">
        <v>22</v>
      </c>
      <c r="H92" s="4" t="s">
        <v>30</v>
      </c>
      <c r="I92" s="4" t="s">
        <v>30</v>
      </c>
      <c r="J92" s="4" t="s">
        <v>24</v>
      </c>
      <c r="K92" s="4" t="s">
        <v>22</v>
      </c>
      <c r="L92" s="4" t="s">
        <v>24</v>
      </c>
      <c r="M92" s="4" t="s">
        <v>22</v>
      </c>
      <c r="N92" s="4" t="s">
        <v>24</v>
      </c>
      <c r="O92" s="4" t="s">
        <v>22</v>
      </c>
      <c r="P92" s="4" t="s">
        <v>215</v>
      </c>
      <c r="Q92" s="4" t="s">
        <v>216</v>
      </c>
    </row>
    <row r="93" spans="1:17" ht="22.5" customHeight="1" x14ac:dyDescent="0.2">
      <c r="A93" s="3">
        <v>46132.397705925927</v>
      </c>
      <c r="B93" s="4" t="s">
        <v>47</v>
      </c>
      <c r="C93" s="4" t="s">
        <v>18</v>
      </c>
      <c r="D93" s="4" t="s">
        <v>19</v>
      </c>
      <c r="E93" s="4" t="s">
        <v>28</v>
      </c>
      <c r="F93" s="4" t="s">
        <v>48</v>
      </c>
      <c r="G93" s="4" t="s">
        <v>24</v>
      </c>
      <c r="H93" s="4" t="s">
        <v>24</v>
      </c>
      <c r="I93" s="4" t="s">
        <v>24</v>
      </c>
      <c r="J93" s="4" t="s">
        <v>24</v>
      </c>
      <c r="K93" s="4" t="s">
        <v>22</v>
      </c>
      <c r="L93" s="4" t="s">
        <v>22</v>
      </c>
      <c r="M93" s="4" t="s">
        <v>24</v>
      </c>
      <c r="N93" s="4" t="s">
        <v>30</v>
      </c>
      <c r="O93" s="4" t="s">
        <v>22</v>
      </c>
      <c r="P93" s="4" t="s">
        <v>217</v>
      </c>
      <c r="Q93" s="4" t="s">
        <v>218</v>
      </c>
    </row>
    <row r="94" spans="1:17" ht="22.5" customHeight="1" x14ac:dyDescent="0.2">
      <c r="A94" s="3">
        <v>46132.469339687501</v>
      </c>
      <c r="B94" s="4" t="s">
        <v>17</v>
      </c>
      <c r="C94" s="4" t="s">
        <v>44</v>
      </c>
      <c r="D94" s="4" t="s">
        <v>19</v>
      </c>
      <c r="E94" s="4" t="s">
        <v>56</v>
      </c>
      <c r="F94" s="4" t="s">
        <v>21</v>
      </c>
      <c r="G94" s="4" t="s">
        <v>30</v>
      </c>
      <c r="H94" s="4" t="s">
        <v>24</v>
      </c>
      <c r="I94" s="4" t="s">
        <v>30</v>
      </c>
      <c r="J94" s="4" t="s">
        <v>30</v>
      </c>
      <c r="K94" s="4" t="s">
        <v>24</v>
      </c>
      <c r="L94" s="4" t="s">
        <v>24</v>
      </c>
      <c r="M94" s="4" t="s">
        <v>24</v>
      </c>
      <c r="N94" s="4" t="s">
        <v>30</v>
      </c>
      <c r="O94" s="4" t="s">
        <v>24</v>
      </c>
      <c r="P94" s="4" t="s">
        <v>219</v>
      </c>
    </row>
    <row r="95" spans="1:17" ht="22.5" customHeight="1" x14ac:dyDescent="0.2">
      <c r="A95" s="3">
        <v>46132.470624247682</v>
      </c>
      <c r="B95" s="4" t="s">
        <v>47</v>
      </c>
      <c r="C95" s="4" t="s">
        <v>18</v>
      </c>
      <c r="D95" s="4" t="s">
        <v>19</v>
      </c>
      <c r="E95" s="4" t="s">
        <v>20</v>
      </c>
      <c r="F95" s="4" t="s">
        <v>29</v>
      </c>
      <c r="G95" s="4" t="s">
        <v>24</v>
      </c>
      <c r="H95" s="4" t="s">
        <v>30</v>
      </c>
      <c r="I95" s="4" t="s">
        <v>30</v>
      </c>
      <c r="J95" s="4" t="s">
        <v>31</v>
      </c>
      <c r="K95" s="4" t="s">
        <v>24</v>
      </c>
      <c r="L95" s="4" t="s">
        <v>31</v>
      </c>
      <c r="M95" s="4" t="s">
        <v>30</v>
      </c>
      <c r="N95" s="4" t="s">
        <v>30</v>
      </c>
      <c r="O95" s="4" t="s">
        <v>30</v>
      </c>
      <c r="P95" s="4" t="s">
        <v>220</v>
      </c>
      <c r="Q95" s="4" t="s">
        <v>41</v>
      </c>
    </row>
    <row r="96" spans="1:17" ht="22.5" customHeight="1" x14ac:dyDescent="0.2">
      <c r="A96" s="3">
        <v>46132.493637060186</v>
      </c>
      <c r="B96" s="4" t="s">
        <v>47</v>
      </c>
      <c r="C96" s="4" t="s">
        <v>18</v>
      </c>
      <c r="D96" s="4" t="s">
        <v>19</v>
      </c>
      <c r="E96" s="4" t="s">
        <v>36</v>
      </c>
      <c r="F96" s="4" t="s">
        <v>48</v>
      </c>
      <c r="G96" s="4" t="s">
        <v>24</v>
      </c>
      <c r="H96" s="4" t="s">
        <v>24</v>
      </c>
      <c r="I96" s="4" t="s">
        <v>24</v>
      </c>
      <c r="J96" s="4" t="s">
        <v>24</v>
      </c>
      <c r="K96" s="4" t="s">
        <v>24</v>
      </c>
      <c r="L96" s="4" t="s">
        <v>24</v>
      </c>
      <c r="M96" s="4" t="s">
        <v>22</v>
      </c>
      <c r="N96" s="4" t="s">
        <v>22</v>
      </c>
      <c r="O96" s="4" t="s">
        <v>24</v>
      </c>
      <c r="P96" s="4" t="s">
        <v>221</v>
      </c>
    </row>
    <row r="97" spans="1:17" ht="22.5" customHeight="1" x14ac:dyDescent="0.2">
      <c r="A97" s="3">
        <v>46132.494671770837</v>
      </c>
      <c r="B97" s="4" t="s">
        <v>104</v>
      </c>
      <c r="C97" s="4" t="s">
        <v>44</v>
      </c>
      <c r="D97" s="4" t="s">
        <v>111</v>
      </c>
      <c r="E97" s="4" t="s">
        <v>28</v>
      </c>
      <c r="F97" s="4" t="s">
        <v>91</v>
      </c>
      <c r="G97" s="4" t="s">
        <v>24</v>
      </c>
      <c r="H97" s="4" t="s">
        <v>22</v>
      </c>
      <c r="I97" s="4" t="s">
        <v>24</v>
      </c>
      <c r="J97" s="4" t="s">
        <v>24</v>
      </c>
      <c r="K97" s="4" t="s">
        <v>22</v>
      </c>
      <c r="L97" s="4" t="s">
        <v>24</v>
      </c>
      <c r="M97" s="4" t="s">
        <v>22</v>
      </c>
      <c r="N97" s="4" t="s">
        <v>24</v>
      </c>
      <c r="O97" s="4" t="s">
        <v>22</v>
      </c>
      <c r="P97" s="4" t="s">
        <v>222</v>
      </c>
      <c r="Q97" s="4" t="s">
        <v>223</v>
      </c>
    </row>
    <row r="98" spans="1:17" ht="22.5" customHeight="1" x14ac:dyDescent="0.2">
      <c r="A98" s="3">
        <v>46132.49472613426</v>
      </c>
      <c r="B98" s="4" t="s">
        <v>47</v>
      </c>
      <c r="C98" s="4" t="s">
        <v>18</v>
      </c>
      <c r="D98" s="4" t="s">
        <v>19</v>
      </c>
      <c r="E98" s="4" t="s">
        <v>28</v>
      </c>
      <c r="F98" s="4" t="s">
        <v>48</v>
      </c>
      <c r="G98" s="4" t="s">
        <v>24</v>
      </c>
      <c r="H98" s="4" t="s">
        <v>30</v>
      </c>
      <c r="I98" s="4" t="s">
        <v>24</v>
      </c>
      <c r="J98" s="4" t="s">
        <v>24</v>
      </c>
      <c r="K98" s="4" t="s">
        <v>22</v>
      </c>
      <c r="L98" s="4" t="s">
        <v>24</v>
      </c>
      <c r="M98" s="4" t="s">
        <v>24</v>
      </c>
      <c r="N98" s="4" t="s">
        <v>24</v>
      </c>
      <c r="O98" s="4" t="s">
        <v>22</v>
      </c>
      <c r="P98" s="4" t="s">
        <v>224</v>
      </c>
      <c r="Q98" s="4" t="s">
        <v>225</v>
      </c>
    </row>
    <row r="99" spans="1:17" ht="22.5" customHeight="1" x14ac:dyDescent="0.2">
      <c r="A99" s="3">
        <v>46132.49520715278</v>
      </c>
      <c r="B99" s="4" t="s">
        <v>104</v>
      </c>
      <c r="C99" s="4" t="s">
        <v>18</v>
      </c>
      <c r="D99" s="4" t="s">
        <v>111</v>
      </c>
      <c r="E99" s="4" t="s">
        <v>28</v>
      </c>
      <c r="F99" s="4" t="s">
        <v>21</v>
      </c>
      <c r="G99" s="4" t="s">
        <v>24</v>
      </c>
      <c r="H99" s="4" t="s">
        <v>24</v>
      </c>
      <c r="I99" s="4" t="s">
        <v>24</v>
      </c>
      <c r="J99" s="4" t="s">
        <v>24</v>
      </c>
      <c r="K99" s="4" t="s">
        <v>22</v>
      </c>
      <c r="L99" s="4" t="s">
        <v>22</v>
      </c>
      <c r="M99" s="4" t="s">
        <v>24</v>
      </c>
      <c r="N99" s="4" t="s">
        <v>22</v>
      </c>
      <c r="O99" s="4" t="s">
        <v>22</v>
      </c>
      <c r="P99" s="4" t="s">
        <v>226</v>
      </c>
      <c r="Q99" s="4" t="s">
        <v>170</v>
      </c>
    </row>
    <row r="100" spans="1:17" ht="22.5" customHeight="1" x14ac:dyDescent="0.2">
      <c r="A100" s="3">
        <v>46132.495324155097</v>
      </c>
      <c r="B100" s="4" t="s">
        <v>104</v>
      </c>
      <c r="C100" s="4" t="s">
        <v>122</v>
      </c>
      <c r="D100" s="4" t="s">
        <v>111</v>
      </c>
      <c r="E100" s="4" t="s">
        <v>28</v>
      </c>
      <c r="F100" s="4" t="s">
        <v>29</v>
      </c>
      <c r="G100" s="4" t="s">
        <v>24</v>
      </c>
      <c r="H100" s="4" t="s">
        <v>24</v>
      </c>
      <c r="I100" s="4" t="s">
        <v>24</v>
      </c>
      <c r="J100" s="4" t="s">
        <v>30</v>
      </c>
      <c r="K100" s="4" t="s">
        <v>22</v>
      </c>
      <c r="L100" s="4" t="s">
        <v>24</v>
      </c>
      <c r="M100" s="4" t="s">
        <v>24</v>
      </c>
      <c r="N100" s="4" t="s">
        <v>22</v>
      </c>
      <c r="O100" s="4" t="s">
        <v>22</v>
      </c>
      <c r="P100" s="4" t="s">
        <v>227</v>
      </c>
      <c r="Q100" s="4" t="s">
        <v>228</v>
      </c>
    </row>
    <row r="101" spans="1:17" ht="22.5" customHeight="1" x14ac:dyDescent="0.2">
      <c r="A101" s="3">
        <v>46132.495728726848</v>
      </c>
      <c r="B101" s="4" t="s">
        <v>104</v>
      </c>
      <c r="C101" s="4" t="s">
        <v>18</v>
      </c>
      <c r="D101" s="4" t="s">
        <v>19</v>
      </c>
      <c r="E101" s="4" t="s">
        <v>28</v>
      </c>
      <c r="F101" s="4" t="s">
        <v>21</v>
      </c>
      <c r="G101" s="4" t="s">
        <v>30</v>
      </c>
      <c r="H101" s="4" t="s">
        <v>30</v>
      </c>
      <c r="I101" s="4" t="s">
        <v>24</v>
      </c>
      <c r="J101" s="4" t="s">
        <v>31</v>
      </c>
      <c r="K101" s="4" t="s">
        <v>30</v>
      </c>
      <c r="L101" s="4" t="s">
        <v>24</v>
      </c>
      <c r="M101" s="4" t="s">
        <v>24</v>
      </c>
      <c r="N101" s="4" t="s">
        <v>30</v>
      </c>
      <c r="O101" s="4" t="s">
        <v>24</v>
      </c>
      <c r="P101" s="4" t="s">
        <v>229</v>
      </c>
      <c r="Q101" s="4" t="s">
        <v>230</v>
      </c>
    </row>
    <row r="102" spans="1:17" ht="22.5" customHeight="1" x14ac:dyDescent="0.2">
      <c r="A102" s="3">
        <v>46132.496030925926</v>
      </c>
      <c r="B102" s="4" t="s">
        <v>17</v>
      </c>
      <c r="C102" s="4" t="s">
        <v>18</v>
      </c>
      <c r="D102" s="4" t="s">
        <v>19</v>
      </c>
      <c r="E102" s="4" t="s">
        <v>28</v>
      </c>
      <c r="F102" s="4" t="s">
        <v>21</v>
      </c>
      <c r="G102" s="4" t="s">
        <v>24</v>
      </c>
      <c r="H102" s="4" t="s">
        <v>24</v>
      </c>
      <c r="I102" s="4" t="s">
        <v>24</v>
      </c>
      <c r="J102" s="4" t="s">
        <v>30</v>
      </c>
      <c r="K102" s="4" t="s">
        <v>30</v>
      </c>
      <c r="L102" s="4" t="s">
        <v>30</v>
      </c>
      <c r="M102" s="4" t="s">
        <v>30</v>
      </c>
      <c r="N102" s="4" t="s">
        <v>24</v>
      </c>
      <c r="O102" s="4" t="s">
        <v>24</v>
      </c>
      <c r="P102" s="4" t="s">
        <v>231</v>
      </c>
      <c r="Q102" s="4" t="s">
        <v>170</v>
      </c>
    </row>
    <row r="103" spans="1:17" ht="22.5" customHeight="1" x14ac:dyDescent="0.2">
      <c r="A103" s="3">
        <v>46132.49639925926</v>
      </c>
      <c r="B103" s="4" t="s">
        <v>47</v>
      </c>
      <c r="C103" s="4" t="s">
        <v>18</v>
      </c>
      <c r="D103" s="4" t="s">
        <v>19</v>
      </c>
      <c r="E103" s="4" t="s">
        <v>20</v>
      </c>
      <c r="F103" s="4" t="s">
        <v>29</v>
      </c>
      <c r="G103" s="4" t="s">
        <v>22</v>
      </c>
      <c r="H103" s="4" t="s">
        <v>24</v>
      </c>
      <c r="I103" s="4" t="s">
        <v>24</v>
      </c>
      <c r="J103" s="4" t="s">
        <v>23</v>
      </c>
      <c r="K103" s="4" t="s">
        <v>23</v>
      </c>
      <c r="L103" s="4" t="s">
        <v>30</v>
      </c>
      <c r="M103" s="4" t="s">
        <v>24</v>
      </c>
      <c r="N103" s="4" t="s">
        <v>22</v>
      </c>
      <c r="O103" s="4" t="s">
        <v>23</v>
      </c>
      <c r="P103" s="4" t="s">
        <v>232</v>
      </c>
      <c r="Q103" s="4" t="s">
        <v>233</v>
      </c>
    </row>
    <row r="104" spans="1:17" ht="22.5" customHeight="1" x14ac:dyDescent="0.2">
      <c r="A104" s="3">
        <v>46132.496676655093</v>
      </c>
      <c r="B104" s="4" t="s">
        <v>47</v>
      </c>
      <c r="C104" s="4" t="s">
        <v>18</v>
      </c>
      <c r="D104" s="4" t="s">
        <v>19</v>
      </c>
      <c r="E104" s="4" t="s">
        <v>28</v>
      </c>
      <c r="F104" s="4" t="s">
        <v>29</v>
      </c>
      <c r="G104" s="4" t="s">
        <v>24</v>
      </c>
      <c r="H104" s="4" t="s">
        <v>22</v>
      </c>
      <c r="I104" s="4" t="s">
        <v>22</v>
      </c>
      <c r="J104" s="4" t="s">
        <v>24</v>
      </c>
      <c r="K104" s="4" t="s">
        <v>23</v>
      </c>
      <c r="L104" s="4" t="s">
        <v>22</v>
      </c>
      <c r="M104" s="4" t="s">
        <v>22</v>
      </c>
      <c r="N104" s="4" t="s">
        <v>23</v>
      </c>
      <c r="O104" s="4" t="s">
        <v>22</v>
      </c>
      <c r="P104" s="4" t="s">
        <v>234</v>
      </c>
      <c r="Q104" s="4" t="s">
        <v>235</v>
      </c>
    </row>
    <row r="105" spans="1:17" ht="22.5" customHeight="1" x14ac:dyDescent="0.2">
      <c r="A105" s="3">
        <v>46132.502461712967</v>
      </c>
      <c r="B105" s="4" t="s">
        <v>17</v>
      </c>
      <c r="C105" s="4" t="s">
        <v>18</v>
      </c>
      <c r="D105" s="4" t="s">
        <v>19</v>
      </c>
      <c r="E105" s="4" t="s">
        <v>28</v>
      </c>
      <c r="F105" s="4" t="s">
        <v>29</v>
      </c>
      <c r="G105" s="4" t="s">
        <v>24</v>
      </c>
      <c r="H105" s="4" t="s">
        <v>22</v>
      </c>
      <c r="I105" s="4" t="s">
        <v>24</v>
      </c>
      <c r="J105" s="4" t="s">
        <v>22</v>
      </c>
      <c r="K105" s="4" t="s">
        <v>24</v>
      </c>
      <c r="L105" s="4" t="s">
        <v>30</v>
      </c>
      <c r="M105" s="4" t="s">
        <v>24</v>
      </c>
      <c r="N105" s="4" t="s">
        <v>24</v>
      </c>
      <c r="O105" s="4" t="s">
        <v>24</v>
      </c>
      <c r="P105" s="4" t="s">
        <v>236</v>
      </c>
      <c r="Q105" s="4" t="s">
        <v>237</v>
      </c>
    </row>
    <row r="106" spans="1:17" ht="22.5" customHeight="1" x14ac:dyDescent="0.2">
      <c r="A106" s="3">
        <v>46132.503054942128</v>
      </c>
      <c r="B106" s="4" t="s">
        <v>104</v>
      </c>
      <c r="C106" s="4" t="s">
        <v>18</v>
      </c>
      <c r="D106" s="4" t="s">
        <v>111</v>
      </c>
      <c r="E106" s="4" t="s">
        <v>20</v>
      </c>
      <c r="F106" s="4" t="s">
        <v>91</v>
      </c>
      <c r="G106" s="4" t="s">
        <v>30</v>
      </c>
      <c r="H106" s="4" t="s">
        <v>30</v>
      </c>
      <c r="I106" s="4" t="s">
        <v>30</v>
      </c>
      <c r="J106" s="4" t="s">
        <v>30</v>
      </c>
      <c r="K106" s="4" t="s">
        <v>24</v>
      </c>
      <c r="L106" s="4" t="s">
        <v>30</v>
      </c>
      <c r="M106" s="4" t="s">
        <v>30</v>
      </c>
      <c r="N106" s="4" t="s">
        <v>30</v>
      </c>
      <c r="O106" s="4" t="s">
        <v>30</v>
      </c>
      <c r="P106" s="4" t="s">
        <v>238</v>
      </c>
      <c r="Q106" s="4" t="s">
        <v>239</v>
      </c>
    </row>
    <row r="107" spans="1:17" ht="22.5" customHeight="1" x14ac:dyDescent="0.2">
      <c r="A107" s="3">
        <v>46132.504016030092</v>
      </c>
      <c r="B107" s="4" t="s">
        <v>47</v>
      </c>
      <c r="C107" s="4" t="s">
        <v>18</v>
      </c>
      <c r="D107" s="4" t="s">
        <v>19</v>
      </c>
      <c r="E107" s="4" t="s">
        <v>28</v>
      </c>
      <c r="F107" s="4" t="s">
        <v>21</v>
      </c>
      <c r="G107" s="4" t="s">
        <v>24</v>
      </c>
      <c r="H107" s="4" t="s">
        <v>22</v>
      </c>
      <c r="I107" s="4" t="s">
        <v>24</v>
      </c>
      <c r="J107" s="4" t="s">
        <v>24</v>
      </c>
      <c r="K107" s="4" t="s">
        <v>24</v>
      </c>
      <c r="L107" s="4" t="s">
        <v>24</v>
      </c>
      <c r="M107" s="4" t="s">
        <v>24</v>
      </c>
      <c r="N107" s="4" t="s">
        <v>24</v>
      </c>
      <c r="O107" s="4" t="s">
        <v>24</v>
      </c>
      <c r="P107" s="4" t="s">
        <v>240</v>
      </c>
      <c r="Q107" s="4" t="s">
        <v>241</v>
      </c>
    </row>
    <row r="108" spans="1:17" ht="22.5" customHeight="1" x14ac:dyDescent="0.2">
      <c r="A108" s="3">
        <v>46132.50433862269</v>
      </c>
      <c r="B108" s="4" t="s">
        <v>47</v>
      </c>
      <c r="C108" s="4" t="s">
        <v>18</v>
      </c>
      <c r="D108" s="4" t="s">
        <v>19</v>
      </c>
      <c r="E108" s="4" t="s">
        <v>56</v>
      </c>
      <c r="F108" s="4" t="s">
        <v>21</v>
      </c>
      <c r="G108" s="4" t="s">
        <v>24</v>
      </c>
      <c r="H108" s="4" t="s">
        <v>24</v>
      </c>
      <c r="I108" s="4" t="s">
        <v>24</v>
      </c>
      <c r="J108" s="4" t="s">
        <v>22</v>
      </c>
      <c r="K108" s="4" t="s">
        <v>23</v>
      </c>
      <c r="L108" s="4" t="s">
        <v>23</v>
      </c>
      <c r="M108" s="4" t="s">
        <v>24</v>
      </c>
      <c r="N108" s="4" t="s">
        <v>22</v>
      </c>
      <c r="O108" s="4" t="s">
        <v>22</v>
      </c>
      <c r="P108" s="4" t="s">
        <v>242</v>
      </c>
      <c r="Q108" s="4" t="s">
        <v>243</v>
      </c>
    </row>
    <row r="109" spans="1:17" ht="22.5" customHeight="1" x14ac:dyDescent="0.2">
      <c r="A109" s="3">
        <v>46132.504823055555</v>
      </c>
      <c r="B109" s="4" t="s">
        <v>47</v>
      </c>
      <c r="C109" s="4" t="s">
        <v>44</v>
      </c>
      <c r="D109" s="4" t="s">
        <v>19</v>
      </c>
      <c r="E109" s="4" t="s">
        <v>20</v>
      </c>
      <c r="F109" s="4" t="s">
        <v>48</v>
      </c>
      <c r="G109" s="4" t="s">
        <v>31</v>
      </c>
      <c r="H109" s="4" t="s">
        <v>30</v>
      </c>
      <c r="I109" s="4" t="s">
        <v>24</v>
      </c>
      <c r="J109" s="4" t="s">
        <v>31</v>
      </c>
      <c r="K109" s="4" t="s">
        <v>24</v>
      </c>
      <c r="L109" s="4" t="s">
        <v>22</v>
      </c>
      <c r="M109" s="4" t="s">
        <v>24</v>
      </c>
      <c r="N109" s="4" t="s">
        <v>23</v>
      </c>
      <c r="O109" s="4" t="s">
        <v>23</v>
      </c>
      <c r="P109" s="4" t="s">
        <v>244</v>
      </c>
      <c r="Q109" s="4" t="s">
        <v>245</v>
      </c>
    </row>
    <row r="110" spans="1:17" ht="22.5" customHeight="1" x14ac:dyDescent="0.2">
      <c r="A110" s="3">
        <v>46132.505360034724</v>
      </c>
      <c r="B110" s="4" t="s">
        <v>104</v>
      </c>
      <c r="C110" s="4" t="s">
        <v>18</v>
      </c>
      <c r="D110" s="4" t="s">
        <v>111</v>
      </c>
      <c r="E110" s="4" t="s">
        <v>20</v>
      </c>
      <c r="F110" s="4" t="s">
        <v>21</v>
      </c>
      <c r="G110" s="4" t="s">
        <v>24</v>
      </c>
      <c r="H110" s="4" t="s">
        <v>24</v>
      </c>
      <c r="I110" s="4" t="s">
        <v>24</v>
      </c>
      <c r="J110" s="4" t="s">
        <v>22</v>
      </c>
      <c r="K110" s="4" t="s">
        <v>22</v>
      </c>
      <c r="L110" s="4" t="s">
        <v>22</v>
      </c>
      <c r="M110" s="4" t="s">
        <v>22</v>
      </c>
      <c r="N110" s="4" t="s">
        <v>22</v>
      </c>
      <c r="O110" s="4" t="s">
        <v>22</v>
      </c>
      <c r="P110" s="4" t="s">
        <v>246</v>
      </c>
      <c r="Q110" s="4" t="s">
        <v>247</v>
      </c>
    </row>
    <row r="111" spans="1:17" ht="22.5" customHeight="1" x14ac:dyDescent="0.2">
      <c r="A111" s="3">
        <v>46132.507642222219</v>
      </c>
      <c r="B111" s="4" t="s">
        <v>104</v>
      </c>
      <c r="C111" s="4" t="s">
        <v>18</v>
      </c>
      <c r="D111" s="4" t="s">
        <v>111</v>
      </c>
      <c r="E111" s="4" t="s">
        <v>28</v>
      </c>
      <c r="F111" s="4" t="s">
        <v>48</v>
      </c>
      <c r="G111" s="4" t="s">
        <v>24</v>
      </c>
      <c r="H111" s="4" t="s">
        <v>22</v>
      </c>
      <c r="I111" s="4" t="s">
        <v>23</v>
      </c>
      <c r="J111" s="4" t="s">
        <v>30</v>
      </c>
      <c r="K111" s="4" t="s">
        <v>22</v>
      </c>
      <c r="L111" s="4" t="s">
        <v>24</v>
      </c>
      <c r="M111" s="4" t="s">
        <v>24</v>
      </c>
      <c r="N111" s="4" t="s">
        <v>31</v>
      </c>
      <c r="O111" s="4" t="s">
        <v>23</v>
      </c>
      <c r="P111" s="4" t="s">
        <v>248</v>
      </c>
      <c r="Q111" s="4" t="s">
        <v>249</v>
      </c>
    </row>
    <row r="112" spans="1:17" ht="22.5" customHeight="1" x14ac:dyDescent="0.2">
      <c r="A112" s="3">
        <v>46132.534936261574</v>
      </c>
      <c r="B112" s="4" t="s">
        <v>47</v>
      </c>
      <c r="C112" s="4" t="s">
        <v>18</v>
      </c>
      <c r="D112" s="4" t="s">
        <v>19</v>
      </c>
      <c r="E112" s="4" t="s">
        <v>20</v>
      </c>
      <c r="F112" s="4" t="s">
        <v>48</v>
      </c>
      <c r="G112" s="4" t="s">
        <v>24</v>
      </c>
      <c r="H112" s="4" t="s">
        <v>22</v>
      </c>
      <c r="I112" s="4" t="s">
        <v>24</v>
      </c>
      <c r="J112" s="4" t="s">
        <v>24</v>
      </c>
      <c r="K112" s="4" t="s">
        <v>24</v>
      </c>
      <c r="L112" s="4" t="s">
        <v>24</v>
      </c>
      <c r="M112" s="4" t="s">
        <v>24</v>
      </c>
      <c r="N112" s="4" t="s">
        <v>30</v>
      </c>
      <c r="O112" s="4" t="s">
        <v>24</v>
      </c>
      <c r="P112" s="4" t="s">
        <v>250</v>
      </c>
      <c r="Q112" s="4" t="s">
        <v>251</v>
      </c>
    </row>
    <row r="113" spans="1:17" ht="22.5" customHeight="1" x14ac:dyDescent="0.2">
      <c r="A113" s="3">
        <v>46132.535124270835</v>
      </c>
      <c r="B113" s="4" t="s">
        <v>47</v>
      </c>
      <c r="C113" s="4" t="s">
        <v>18</v>
      </c>
      <c r="D113" s="4" t="s">
        <v>19</v>
      </c>
      <c r="E113" s="4" t="s">
        <v>20</v>
      </c>
      <c r="F113" s="4" t="s">
        <v>21</v>
      </c>
      <c r="G113" s="4" t="s">
        <v>24</v>
      </c>
      <c r="H113" s="4" t="s">
        <v>24</v>
      </c>
      <c r="I113" s="4" t="s">
        <v>24</v>
      </c>
      <c r="J113" s="4" t="s">
        <v>24</v>
      </c>
      <c r="K113" s="4" t="s">
        <v>24</v>
      </c>
      <c r="L113" s="4" t="s">
        <v>24</v>
      </c>
      <c r="M113" s="4" t="s">
        <v>24</v>
      </c>
      <c r="N113" s="4" t="s">
        <v>30</v>
      </c>
      <c r="O113" s="4" t="s">
        <v>22</v>
      </c>
      <c r="P113" s="4" t="s">
        <v>252</v>
      </c>
      <c r="Q113" s="4" t="s">
        <v>253</v>
      </c>
    </row>
    <row r="114" spans="1:17" ht="22.5" customHeight="1" x14ac:dyDescent="0.2">
      <c r="A114" s="3">
        <v>46132.535665509262</v>
      </c>
      <c r="B114" s="4" t="s">
        <v>47</v>
      </c>
      <c r="C114" s="4" t="s">
        <v>18</v>
      </c>
      <c r="D114" s="4" t="s">
        <v>19</v>
      </c>
      <c r="E114" s="4" t="s">
        <v>28</v>
      </c>
      <c r="F114" s="4" t="s">
        <v>48</v>
      </c>
      <c r="G114" s="4" t="s">
        <v>24</v>
      </c>
      <c r="H114" s="4" t="s">
        <v>24</v>
      </c>
      <c r="I114" s="4" t="s">
        <v>24</v>
      </c>
      <c r="J114" s="4" t="s">
        <v>30</v>
      </c>
      <c r="K114" s="4" t="s">
        <v>24</v>
      </c>
      <c r="L114" s="4" t="s">
        <v>24</v>
      </c>
      <c r="M114" s="4" t="s">
        <v>24</v>
      </c>
      <c r="N114" s="4" t="s">
        <v>22</v>
      </c>
      <c r="O114" s="4" t="s">
        <v>22</v>
      </c>
      <c r="P114" s="4" t="s">
        <v>254</v>
      </c>
    </row>
    <row r="115" spans="1:17" ht="22.5" customHeight="1" x14ac:dyDescent="0.2">
      <c r="A115" s="3">
        <v>46132.536662719911</v>
      </c>
      <c r="B115" s="4" t="s">
        <v>47</v>
      </c>
      <c r="C115" s="4" t="s">
        <v>18</v>
      </c>
      <c r="D115" s="4" t="s">
        <v>19</v>
      </c>
      <c r="E115" s="4" t="s">
        <v>20</v>
      </c>
      <c r="F115" s="4" t="s">
        <v>48</v>
      </c>
      <c r="G115" s="4" t="s">
        <v>30</v>
      </c>
      <c r="H115" s="4" t="s">
        <v>30</v>
      </c>
      <c r="I115" s="4" t="s">
        <v>30</v>
      </c>
      <c r="J115" s="4" t="s">
        <v>24</v>
      </c>
      <c r="K115" s="4" t="s">
        <v>30</v>
      </c>
      <c r="L115" s="4" t="s">
        <v>24</v>
      </c>
      <c r="M115" s="4" t="s">
        <v>30</v>
      </c>
      <c r="N115" s="4" t="s">
        <v>24</v>
      </c>
      <c r="O115" s="4" t="s">
        <v>30</v>
      </c>
      <c r="P115" s="4" t="s">
        <v>255</v>
      </c>
    </row>
    <row r="116" spans="1:17" ht="22.5" customHeight="1" x14ac:dyDescent="0.2">
      <c r="A116" s="3">
        <v>46132.537718587962</v>
      </c>
      <c r="B116" s="4" t="s">
        <v>17</v>
      </c>
      <c r="C116" s="4" t="s">
        <v>18</v>
      </c>
      <c r="D116" s="4" t="s">
        <v>19</v>
      </c>
      <c r="E116" s="4" t="s">
        <v>20</v>
      </c>
      <c r="F116" s="4" t="s">
        <v>48</v>
      </c>
      <c r="G116" s="4" t="s">
        <v>24</v>
      </c>
      <c r="H116" s="4" t="s">
        <v>22</v>
      </c>
      <c r="I116" s="4" t="s">
        <v>22</v>
      </c>
      <c r="J116" s="4" t="s">
        <v>24</v>
      </c>
      <c r="K116" s="4" t="s">
        <v>24</v>
      </c>
      <c r="L116" s="4" t="s">
        <v>24</v>
      </c>
      <c r="M116" s="4" t="s">
        <v>24</v>
      </c>
      <c r="N116" s="4" t="s">
        <v>22</v>
      </c>
      <c r="O116" s="4" t="s">
        <v>22</v>
      </c>
      <c r="P116" s="4" t="s">
        <v>256</v>
      </c>
      <c r="Q116" s="4" t="s">
        <v>257</v>
      </c>
    </row>
    <row r="117" spans="1:17" ht="22.5" customHeight="1" x14ac:dyDescent="0.2">
      <c r="A117" s="3">
        <v>46132.551129004627</v>
      </c>
      <c r="B117" s="4" t="s">
        <v>47</v>
      </c>
      <c r="C117" s="4" t="s">
        <v>44</v>
      </c>
      <c r="D117" s="4" t="s">
        <v>19</v>
      </c>
      <c r="E117" s="4" t="s">
        <v>20</v>
      </c>
      <c r="F117" s="4" t="s">
        <v>29</v>
      </c>
      <c r="G117" s="4" t="s">
        <v>24</v>
      </c>
      <c r="H117" s="4" t="s">
        <v>24</v>
      </c>
      <c r="I117" s="4" t="s">
        <v>24</v>
      </c>
      <c r="J117" s="4" t="s">
        <v>30</v>
      </c>
      <c r="K117" s="4" t="s">
        <v>23</v>
      </c>
      <c r="L117" s="4" t="s">
        <v>23</v>
      </c>
      <c r="M117" s="4" t="s">
        <v>22</v>
      </c>
      <c r="N117" s="4" t="s">
        <v>23</v>
      </c>
      <c r="O117" s="4" t="s">
        <v>23</v>
      </c>
      <c r="P117" s="4" t="s">
        <v>258</v>
      </c>
      <c r="Q117" s="4" t="s">
        <v>259</v>
      </c>
    </row>
    <row r="118" spans="1:17" ht="22.5" customHeight="1" x14ac:dyDescent="0.2">
      <c r="A118" s="3">
        <v>46132.552303472221</v>
      </c>
      <c r="B118" s="4" t="s">
        <v>136</v>
      </c>
      <c r="C118" s="4" t="s">
        <v>44</v>
      </c>
      <c r="D118" s="4" t="s">
        <v>19</v>
      </c>
      <c r="E118" s="4" t="s">
        <v>28</v>
      </c>
      <c r="F118" s="4" t="s">
        <v>21</v>
      </c>
      <c r="G118" s="4" t="s">
        <v>30</v>
      </c>
      <c r="H118" s="4" t="s">
        <v>24</v>
      </c>
      <c r="I118" s="4" t="s">
        <v>30</v>
      </c>
      <c r="J118" s="4" t="s">
        <v>31</v>
      </c>
      <c r="K118" s="4" t="s">
        <v>24</v>
      </c>
      <c r="L118" s="4" t="s">
        <v>31</v>
      </c>
      <c r="M118" s="4" t="s">
        <v>30</v>
      </c>
      <c r="N118" s="4" t="s">
        <v>30</v>
      </c>
      <c r="O118" s="4" t="s">
        <v>31</v>
      </c>
      <c r="P118" s="4" t="s">
        <v>260</v>
      </c>
    </row>
    <row r="119" spans="1:17" ht="22.5" customHeight="1" x14ac:dyDescent="0.2">
      <c r="A119" s="3">
        <v>46132.557074756944</v>
      </c>
      <c r="B119" s="4" t="s">
        <v>47</v>
      </c>
      <c r="C119" s="4" t="s">
        <v>18</v>
      </c>
      <c r="D119" s="4" t="s">
        <v>19</v>
      </c>
      <c r="E119" s="4" t="s">
        <v>28</v>
      </c>
      <c r="F119" s="4" t="s">
        <v>29</v>
      </c>
      <c r="G119" s="4" t="s">
        <v>30</v>
      </c>
      <c r="H119" s="4" t="s">
        <v>24</v>
      </c>
      <c r="I119" s="4" t="s">
        <v>24</v>
      </c>
      <c r="J119" s="4" t="s">
        <v>24</v>
      </c>
      <c r="K119" s="4" t="s">
        <v>23</v>
      </c>
      <c r="L119" s="4" t="s">
        <v>23</v>
      </c>
      <c r="M119" s="4" t="s">
        <v>24</v>
      </c>
      <c r="N119" s="4" t="s">
        <v>23</v>
      </c>
      <c r="O119" s="4" t="s">
        <v>22</v>
      </c>
      <c r="P119" s="4" t="s">
        <v>261</v>
      </c>
      <c r="Q119" s="4" t="s">
        <v>262</v>
      </c>
    </row>
    <row r="120" spans="1:17" ht="22.5" customHeight="1" x14ac:dyDescent="0.2">
      <c r="A120" s="3">
        <v>46132.576255358799</v>
      </c>
      <c r="B120" s="4" t="s">
        <v>47</v>
      </c>
      <c r="C120" s="4" t="s">
        <v>18</v>
      </c>
      <c r="D120" s="4" t="s">
        <v>19</v>
      </c>
      <c r="E120" s="4" t="s">
        <v>28</v>
      </c>
      <c r="F120" s="4" t="s">
        <v>48</v>
      </c>
      <c r="G120" s="4" t="s">
        <v>22</v>
      </c>
      <c r="H120" s="4" t="s">
        <v>22</v>
      </c>
      <c r="I120" s="4" t="s">
        <v>22</v>
      </c>
      <c r="J120" s="4" t="s">
        <v>22</v>
      </c>
      <c r="K120" s="4" t="s">
        <v>22</v>
      </c>
      <c r="L120" s="4" t="s">
        <v>22</v>
      </c>
      <c r="M120" s="4" t="s">
        <v>22</v>
      </c>
      <c r="N120" s="4" t="s">
        <v>24</v>
      </c>
      <c r="O120" s="4" t="s">
        <v>22</v>
      </c>
      <c r="P120" s="4" t="s">
        <v>263</v>
      </c>
      <c r="Q120" s="4" t="s">
        <v>264</v>
      </c>
    </row>
    <row r="121" spans="1:17" ht="22.5" customHeight="1" x14ac:dyDescent="0.2">
      <c r="A121" s="3">
        <v>46132.576303668982</v>
      </c>
      <c r="B121" s="4" t="s">
        <v>136</v>
      </c>
      <c r="C121" s="4" t="s">
        <v>18</v>
      </c>
      <c r="D121" s="4" t="s">
        <v>19</v>
      </c>
      <c r="E121" s="4" t="s">
        <v>28</v>
      </c>
      <c r="F121" s="4" t="s">
        <v>21</v>
      </c>
      <c r="G121" s="4" t="s">
        <v>24</v>
      </c>
      <c r="H121" s="4" t="s">
        <v>31</v>
      </c>
      <c r="I121" s="4" t="s">
        <v>24</v>
      </c>
      <c r="J121" s="4" t="s">
        <v>30</v>
      </c>
      <c r="K121" s="4" t="s">
        <v>24</v>
      </c>
      <c r="L121" s="4" t="s">
        <v>24</v>
      </c>
      <c r="M121" s="4" t="s">
        <v>30</v>
      </c>
      <c r="N121" s="4" t="s">
        <v>24</v>
      </c>
      <c r="O121" s="4" t="s">
        <v>30</v>
      </c>
      <c r="P121" s="4" t="s">
        <v>265</v>
      </c>
      <c r="Q121" s="4" t="s">
        <v>266</v>
      </c>
    </row>
    <row r="122" spans="1:17" ht="22.5" customHeight="1" x14ac:dyDescent="0.2">
      <c r="A122" s="3">
        <v>46132.576846064811</v>
      </c>
      <c r="B122" s="4" t="s">
        <v>47</v>
      </c>
      <c r="C122" s="4" t="s">
        <v>18</v>
      </c>
      <c r="D122" s="4" t="s">
        <v>19</v>
      </c>
      <c r="E122" s="4" t="s">
        <v>267</v>
      </c>
      <c r="F122" s="4" t="s">
        <v>48</v>
      </c>
      <c r="G122" s="4" t="s">
        <v>24</v>
      </c>
      <c r="H122" s="4" t="s">
        <v>24</v>
      </c>
      <c r="I122" s="4" t="s">
        <v>24</v>
      </c>
      <c r="J122" s="4" t="s">
        <v>31</v>
      </c>
      <c r="K122" s="4" t="s">
        <v>24</v>
      </c>
      <c r="L122" s="4" t="s">
        <v>24</v>
      </c>
      <c r="M122" s="4" t="s">
        <v>30</v>
      </c>
      <c r="N122" s="4" t="s">
        <v>22</v>
      </c>
      <c r="O122" s="4" t="s">
        <v>24</v>
      </c>
      <c r="P122" s="4" t="s">
        <v>268</v>
      </c>
      <c r="Q122" s="4" t="s">
        <v>269</v>
      </c>
    </row>
    <row r="123" spans="1:17" ht="22.5" customHeight="1" x14ac:dyDescent="0.2">
      <c r="A123" s="3">
        <v>46132.586735104167</v>
      </c>
      <c r="B123" s="4" t="s">
        <v>47</v>
      </c>
      <c r="C123" s="4" t="s">
        <v>44</v>
      </c>
      <c r="D123" s="4" t="s">
        <v>19</v>
      </c>
      <c r="E123" s="4" t="s">
        <v>20</v>
      </c>
      <c r="F123" s="4" t="s">
        <v>91</v>
      </c>
      <c r="G123" s="4" t="s">
        <v>24</v>
      </c>
      <c r="H123" s="4" t="s">
        <v>24</v>
      </c>
      <c r="I123" s="4" t="s">
        <v>24</v>
      </c>
      <c r="J123" s="4" t="s">
        <v>24</v>
      </c>
      <c r="K123" s="4" t="s">
        <v>24</v>
      </c>
      <c r="L123" s="4" t="s">
        <v>24</v>
      </c>
      <c r="M123" s="4" t="s">
        <v>24</v>
      </c>
      <c r="N123" s="4" t="s">
        <v>24</v>
      </c>
      <c r="O123" s="4" t="s">
        <v>24</v>
      </c>
      <c r="P123" s="4" t="s">
        <v>270</v>
      </c>
      <c r="Q123" s="4" t="s">
        <v>271</v>
      </c>
    </row>
    <row r="124" spans="1:17" ht="22.5" customHeight="1" x14ac:dyDescent="0.2">
      <c r="A124" s="3">
        <v>46132.600253182871</v>
      </c>
      <c r="B124" s="4" t="s">
        <v>17</v>
      </c>
      <c r="C124" s="4" t="s">
        <v>18</v>
      </c>
      <c r="D124" s="4" t="s">
        <v>27</v>
      </c>
      <c r="E124" s="4" t="s">
        <v>56</v>
      </c>
      <c r="F124" s="4" t="s">
        <v>29</v>
      </c>
      <c r="G124" s="4" t="s">
        <v>24</v>
      </c>
      <c r="H124" s="4" t="s">
        <v>30</v>
      </c>
      <c r="I124" s="4" t="s">
        <v>24</v>
      </c>
      <c r="J124" s="4" t="s">
        <v>30</v>
      </c>
      <c r="K124" s="4" t="s">
        <v>22</v>
      </c>
      <c r="L124" s="4" t="s">
        <v>24</v>
      </c>
      <c r="M124" s="4" t="s">
        <v>24</v>
      </c>
      <c r="N124" s="4" t="s">
        <v>22</v>
      </c>
      <c r="O124" s="4" t="s">
        <v>22</v>
      </c>
      <c r="P124" s="4" t="s">
        <v>272</v>
      </c>
      <c r="Q124" s="4" t="s">
        <v>273</v>
      </c>
    </row>
    <row r="125" spans="1:17" ht="22.5" customHeight="1" x14ac:dyDescent="0.2">
      <c r="A125" s="3">
        <v>46132.601448530091</v>
      </c>
      <c r="B125" s="4" t="s">
        <v>47</v>
      </c>
      <c r="C125" s="4" t="s">
        <v>44</v>
      </c>
      <c r="D125" s="4" t="s">
        <v>19</v>
      </c>
      <c r="E125" s="4" t="s">
        <v>56</v>
      </c>
      <c r="F125" s="4" t="s">
        <v>21</v>
      </c>
      <c r="G125" s="4" t="s">
        <v>24</v>
      </c>
      <c r="H125" s="4" t="s">
        <v>31</v>
      </c>
      <c r="I125" s="4" t="s">
        <v>24</v>
      </c>
      <c r="J125" s="4" t="s">
        <v>24</v>
      </c>
      <c r="K125" s="4" t="s">
        <v>24</v>
      </c>
      <c r="L125" s="4" t="s">
        <v>24</v>
      </c>
      <c r="M125" s="4" t="s">
        <v>24</v>
      </c>
      <c r="N125" s="4" t="s">
        <v>24</v>
      </c>
      <c r="O125" s="4" t="s">
        <v>24</v>
      </c>
      <c r="P125" s="4" t="s">
        <v>274</v>
      </c>
      <c r="Q125" s="4" t="s">
        <v>275</v>
      </c>
    </row>
    <row r="126" spans="1:17" ht="22.5" customHeight="1" x14ac:dyDescent="0.2">
      <c r="A126" s="3">
        <v>46132.603792314811</v>
      </c>
      <c r="B126" s="4" t="s">
        <v>47</v>
      </c>
      <c r="C126" s="4" t="s">
        <v>18</v>
      </c>
      <c r="D126" s="4" t="s">
        <v>19</v>
      </c>
      <c r="E126" s="4" t="s">
        <v>20</v>
      </c>
      <c r="F126" s="4" t="s">
        <v>91</v>
      </c>
      <c r="G126" s="4" t="s">
        <v>22</v>
      </c>
      <c r="H126" s="4" t="s">
        <v>24</v>
      </c>
      <c r="I126" s="4" t="s">
        <v>22</v>
      </c>
      <c r="J126" s="4" t="s">
        <v>24</v>
      </c>
      <c r="K126" s="4" t="s">
        <v>24</v>
      </c>
      <c r="L126" s="4" t="s">
        <v>22</v>
      </c>
      <c r="M126" s="4" t="s">
        <v>22</v>
      </c>
      <c r="N126" s="4" t="s">
        <v>24</v>
      </c>
      <c r="O126" s="4" t="s">
        <v>24</v>
      </c>
      <c r="P126" s="4" t="s">
        <v>276</v>
      </c>
      <c r="Q126" s="4" t="s">
        <v>277</v>
      </c>
    </row>
    <row r="127" spans="1:17" ht="22.5" customHeight="1" x14ac:dyDescent="0.2">
      <c r="A127" s="3">
        <v>46134.344088032405</v>
      </c>
      <c r="B127" s="4" t="s">
        <v>107</v>
      </c>
      <c r="C127" s="4" t="s">
        <v>18</v>
      </c>
      <c r="D127" s="4" t="s">
        <v>19</v>
      </c>
      <c r="E127" s="4" t="s">
        <v>36</v>
      </c>
      <c r="F127" s="4" t="s">
        <v>48</v>
      </c>
      <c r="G127" s="4" t="s">
        <v>30</v>
      </c>
      <c r="H127" s="4" t="s">
        <v>30</v>
      </c>
      <c r="I127" s="4" t="s">
        <v>30</v>
      </c>
      <c r="J127" s="4" t="s">
        <v>30</v>
      </c>
      <c r="K127" s="4" t="s">
        <v>22</v>
      </c>
      <c r="L127" s="4" t="s">
        <v>23</v>
      </c>
      <c r="M127" s="4" t="s">
        <v>30</v>
      </c>
      <c r="N127" s="4" t="s">
        <v>24</v>
      </c>
      <c r="O127" s="4" t="s">
        <v>24</v>
      </c>
      <c r="P127" s="4" t="s">
        <v>278</v>
      </c>
      <c r="Q127" s="4" t="s">
        <v>279</v>
      </c>
    </row>
    <row r="128" spans="1:17" ht="22.5" customHeight="1" x14ac:dyDescent="0.2">
      <c r="A128" s="3">
        <v>46134.345122824074</v>
      </c>
      <c r="B128" s="4" t="s">
        <v>107</v>
      </c>
      <c r="C128" s="4" t="s">
        <v>18</v>
      </c>
      <c r="D128" s="4" t="s">
        <v>111</v>
      </c>
      <c r="E128" s="4" t="s">
        <v>28</v>
      </c>
      <c r="F128" s="4" t="s">
        <v>21</v>
      </c>
      <c r="G128" s="4" t="s">
        <v>24</v>
      </c>
      <c r="H128" s="4" t="s">
        <v>22</v>
      </c>
      <c r="I128" s="4" t="s">
        <v>22</v>
      </c>
      <c r="J128" s="4" t="s">
        <v>22</v>
      </c>
      <c r="K128" s="4" t="s">
        <v>23</v>
      </c>
      <c r="L128" s="4" t="s">
        <v>22</v>
      </c>
      <c r="M128" s="4" t="s">
        <v>22</v>
      </c>
      <c r="N128" s="4" t="s">
        <v>30</v>
      </c>
      <c r="O128" s="4" t="s">
        <v>23</v>
      </c>
      <c r="P128" s="4" t="s">
        <v>280</v>
      </c>
      <c r="Q128" s="4" t="s">
        <v>281</v>
      </c>
    </row>
    <row r="129" spans="1:17" ht="22.5" customHeight="1" x14ac:dyDescent="0.2">
      <c r="A129" s="3">
        <v>46134.349462268518</v>
      </c>
      <c r="B129" s="4" t="s">
        <v>107</v>
      </c>
      <c r="C129" s="4" t="s">
        <v>18</v>
      </c>
      <c r="D129" s="4" t="s">
        <v>19</v>
      </c>
      <c r="E129" s="4" t="s">
        <v>20</v>
      </c>
      <c r="F129" s="4" t="s">
        <v>21</v>
      </c>
      <c r="G129" s="4" t="s">
        <v>24</v>
      </c>
      <c r="H129" s="4" t="s">
        <v>22</v>
      </c>
      <c r="I129" s="4" t="s">
        <v>22</v>
      </c>
      <c r="J129" s="4" t="s">
        <v>24</v>
      </c>
      <c r="K129" s="4" t="s">
        <v>22</v>
      </c>
      <c r="L129" s="4" t="s">
        <v>23</v>
      </c>
      <c r="M129" s="4" t="s">
        <v>22</v>
      </c>
      <c r="N129" s="4" t="s">
        <v>22</v>
      </c>
      <c r="O129" s="4" t="s">
        <v>24</v>
      </c>
      <c r="P129" s="4" t="s">
        <v>282</v>
      </c>
      <c r="Q129" s="4" t="s">
        <v>283</v>
      </c>
    </row>
    <row r="130" spans="1:17" ht="22.5" customHeight="1" x14ac:dyDescent="0.2">
      <c r="A130" s="3">
        <v>46134.356747106482</v>
      </c>
      <c r="B130" s="4" t="s">
        <v>107</v>
      </c>
      <c r="C130" s="4" t="s">
        <v>18</v>
      </c>
      <c r="D130" s="4" t="s">
        <v>111</v>
      </c>
      <c r="E130" s="4" t="s">
        <v>28</v>
      </c>
      <c r="F130" s="4" t="s">
        <v>48</v>
      </c>
      <c r="G130" s="4" t="s">
        <v>24</v>
      </c>
      <c r="H130" s="4" t="s">
        <v>22</v>
      </c>
      <c r="I130" s="4" t="s">
        <v>30</v>
      </c>
      <c r="J130" s="4" t="s">
        <v>31</v>
      </c>
      <c r="K130" s="4" t="s">
        <v>24</v>
      </c>
      <c r="L130" s="4" t="s">
        <v>30</v>
      </c>
      <c r="M130" s="4" t="s">
        <v>31</v>
      </c>
      <c r="N130" s="4" t="s">
        <v>31</v>
      </c>
      <c r="O130" s="4" t="s">
        <v>22</v>
      </c>
      <c r="P130" s="4" t="s">
        <v>284</v>
      </c>
    </row>
    <row r="131" spans="1:17" ht="22.5" customHeight="1" x14ac:dyDescent="0.2">
      <c r="A131" s="3">
        <v>46134.367538206017</v>
      </c>
      <c r="B131" s="4" t="s">
        <v>107</v>
      </c>
      <c r="C131" s="4" t="s">
        <v>18</v>
      </c>
      <c r="D131" s="4" t="s">
        <v>111</v>
      </c>
      <c r="E131" s="4" t="s">
        <v>28</v>
      </c>
      <c r="F131" s="4" t="s">
        <v>29</v>
      </c>
      <c r="G131" s="4" t="s">
        <v>24</v>
      </c>
      <c r="H131" s="4" t="s">
        <v>24</v>
      </c>
      <c r="I131" s="4" t="s">
        <v>24</v>
      </c>
      <c r="J131" s="4" t="s">
        <v>31</v>
      </c>
      <c r="K131" s="4" t="s">
        <v>22</v>
      </c>
      <c r="L131" s="4" t="s">
        <v>24</v>
      </c>
      <c r="M131" s="4" t="s">
        <v>30</v>
      </c>
      <c r="N131" s="4" t="s">
        <v>31</v>
      </c>
      <c r="O131" s="4" t="s">
        <v>22</v>
      </c>
      <c r="P131" s="4" t="s">
        <v>285</v>
      </c>
      <c r="Q131" s="4" t="s">
        <v>286</v>
      </c>
    </row>
    <row r="132" spans="1:17" ht="22.5" customHeight="1" x14ac:dyDescent="0.2">
      <c r="A132" s="3">
        <v>46134.39827070602</v>
      </c>
      <c r="B132" s="4" t="s">
        <v>107</v>
      </c>
      <c r="C132" s="4" t="s">
        <v>44</v>
      </c>
      <c r="D132" s="4" t="s">
        <v>111</v>
      </c>
      <c r="E132" s="4" t="s">
        <v>20</v>
      </c>
      <c r="F132" s="4" t="s">
        <v>91</v>
      </c>
      <c r="G132" s="4" t="s">
        <v>30</v>
      </c>
      <c r="H132" s="4" t="s">
        <v>24</v>
      </c>
      <c r="I132" s="4" t="s">
        <v>24</v>
      </c>
      <c r="J132" s="4" t="s">
        <v>22</v>
      </c>
      <c r="K132" s="4" t="s">
        <v>24</v>
      </c>
      <c r="L132" s="4" t="s">
        <v>22</v>
      </c>
      <c r="M132" s="4" t="s">
        <v>22</v>
      </c>
      <c r="N132" s="4" t="s">
        <v>22</v>
      </c>
      <c r="O132" s="4" t="s">
        <v>22</v>
      </c>
      <c r="P132" s="4" t="s">
        <v>287</v>
      </c>
    </row>
    <row r="133" spans="1:17" ht="22.5" customHeight="1" x14ac:dyDescent="0.2">
      <c r="A133" s="3">
        <v>46134.511162974537</v>
      </c>
      <c r="B133" s="4" t="s">
        <v>104</v>
      </c>
      <c r="C133" s="4" t="s">
        <v>18</v>
      </c>
      <c r="D133" s="4" t="s">
        <v>19</v>
      </c>
      <c r="E133" s="4" t="s">
        <v>28</v>
      </c>
      <c r="F133" s="4" t="s">
        <v>21</v>
      </c>
      <c r="G133" s="4" t="s">
        <v>24</v>
      </c>
      <c r="H133" s="4" t="s">
        <v>24</v>
      </c>
      <c r="I133" s="4" t="s">
        <v>24</v>
      </c>
      <c r="J133" s="4" t="s">
        <v>24</v>
      </c>
      <c r="K133" s="4" t="s">
        <v>24</v>
      </c>
      <c r="L133" s="4" t="s">
        <v>24</v>
      </c>
      <c r="M133" s="4" t="s">
        <v>24</v>
      </c>
      <c r="N133" s="4" t="s">
        <v>24</v>
      </c>
      <c r="O133" s="4" t="s">
        <v>24</v>
      </c>
      <c r="P133" s="4" t="s">
        <v>288</v>
      </c>
      <c r="Q133" s="4" t="s">
        <v>289</v>
      </c>
    </row>
    <row r="134" spans="1:17" ht="22.5" customHeight="1" x14ac:dyDescent="0.2">
      <c r="A134" s="3">
        <v>46134.512865775461</v>
      </c>
      <c r="B134" s="4" t="s">
        <v>125</v>
      </c>
      <c r="C134" s="4" t="s">
        <v>18</v>
      </c>
      <c r="D134" s="4" t="s">
        <v>19</v>
      </c>
      <c r="E134" s="4" t="s">
        <v>28</v>
      </c>
      <c r="F134" s="4" t="s">
        <v>91</v>
      </c>
      <c r="G134" s="4" t="s">
        <v>24</v>
      </c>
      <c r="H134" s="4" t="s">
        <v>23</v>
      </c>
      <c r="I134" s="4" t="s">
        <v>24</v>
      </c>
      <c r="J134" s="4" t="s">
        <v>24</v>
      </c>
      <c r="K134" s="4" t="s">
        <v>24</v>
      </c>
      <c r="L134" s="4" t="s">
        <v>24</v>
      </c>
      <c r="M134" s="4" t="s">
        <v>22</v>
      </c>
      <c r="N134" s="4" t="s">
        <v>31</v>
      </c>
      <c r="O134" s="4" t="s">
        <v>24</v>
      </c>
      <c r="P134" s="4" t="s">
        <v>290</v>
      </c>
      <c r="Q134" s="4" t="s">
        <v>291</v>
      </c>
    </row>
    <row r="135" spans="1:17" ht="22.5" customHeight="1" x14ac:dyDescent="0.2">
      <c r="A135" s="3">
        <v>46135.578313113423</v>
      </c>
      <c r="B135" s="4" t="s">
        <v>17</v>
      </c>
      <c r="C135" s="4" t="s">
        <v>18</v>
      </c>
      <c r="D135" s="4" t="s">
        <v>19</v>
      </c>
      <c r="E135" s="4" t="s">
        <v>28</v>
      </c>
      <c r="F135" s="4" t="s">
        <v>21</v>
      </c>
      <c r="G135" s="4" t="s">
        <v>24</v>
      </c>
      <c r="H135" s="4" t="s">
        <v>24</v>
      </c>
      <c r="I135" s="4" t="s">
        <v>24</v>
      </c>
      <c r="J135" s="4" t="s">
        <v>24</v>
      </c>
      <c r="K135" s="4" t="s">
        <v>22</v>
      </c>
      <c r="L135" s="4" t="s">
        <v>22</v>
      </c>
      <c r="M135" s="4" t="s">
        <v>24</v>
      </c>
      <c r="N135" s="4" t="s">
        <v>22</v>
      </c>
      <c r="O135" s="4" t="s">
        <v>22</v>
      </c>
      <c r="P135" s="4" t="s">
        <v>292</v>
      </c>
      <c r="Q135" s="4" t="s">
        <v>293</v>
      </c>
    </row>
    <row r="136" spans="1:17" ht="22.5" customHeight="1" x14ac:dyDescent="0.2">
      <c r="A136" s="3">
        <v>46135.581248460643</v>
      </c>
      <c r="B136" s="4" t="s">
        <v>104</v>
      </c>
      <c r="C136" s="4" t="s">
        <v>44</v>
      </c>
      <c r="D136" s="4" t="s">
        <v>111</v>
      </c>
      <c r="E136" s="4" t="s">
        <v>20</v>
      </c>
      <c r="F136" s="4" t="s">
        <v>21</v>
      </c>
      <c r="G136" s="4" t="s">
        <v>22</v>
      </c>
      <c r="H136" s="4" t="s">
        <v>22</v>
      </c>
      <c r="I136" s="4" t="s">
        <v>23</v>
      </c>
      <c r="J136" s="4" t="s">
        <v>30</v>
      </c>
      <c r="K136" s="4" t="s">
        <v>22</v>
      </c>
      <c r="L136" s="4" t="s">
        <v>23</v>
      </c>
      <c r="M136" s="4" t="s">
        <v>22</v>
      </c>
      <c r="N136" s="4" t="s">
        <v>23</v>
      </c>
      <c r="O136" s="4" t="s">
        <v>23</v>
      </c>
      <c r="P136" s="4" t="s">
        <v>294</v>
      </c>
    </row>
    <row r="137" spans="1:17" ht="22.5" customHeight="1" x14ac:dyDescent="0.2">
      <c r="A137" s="3">
        <v>46135.600382280092</v>
      </c>
      <c r="B137" s="4" t="s">
        <v>295</v>
      </c>
      <c r="C137" s="4" t="s">
        <v>44</v>
      </c>
      <c r="D137" s="4" t="s">
        <v>111</v>
      </c>
      <c r="E137" s="4" t="s">
        <v>20</v>
      </c>
      <c r="F137" s="4" t="s">
        <v>91</v>
      </c>
      <c r="G137" s="4" t="s">
        <v>51</v>
      </c>
      <c r="H137" s="4" t="s">
        <v>23</v>
      </c>
      <c r="I137" s="4" t="s">
        <v>23</v>
      </c>
      <c r="J137" s="4" t="s">
        <v>23</v>
      </c>
      <c r="K137" s="4" t="s">
        <v>23</v>
      </c>
      <c r="L137" s="4" t="s">
        <v>22</v>
      </c>
      <c r="M137" s="4" t="s">
        <v>22</v>
      </c>
      <c r="N137" s="4" t="s">
        <v>23</v>
      </c>
      <c r="O137" s="4" t="s">
        <v>23</v>
      </c>
      <c r="P137" s="4" t="s">
        <v>296</v>
      </c>
      <c r="Q137" s="4" t="s">
        <v>297</v>
      </c>
    </row>
    <row r="138" spans="1:17" ht="22.5" customHeight="1" x14ac:dyDescent="0.2">
      <c r="A138" s="3">
        <v>46135.644783958334</v>
      </c>
      <c r="B138" s="4" t="s">
        <v>125</v>
      </c>
      <c r="C138" s="4" t="s">
        <v>18</v>
      </c>
      <c r="D138" s="4" t="s">
        <v>19</v>
      </c>
      <c r="E138" s="4" t="s">
        <v>20</v>
      </c>
      <c r="F138" s="4" t="s">
        <v>21</v>
      </c>
      <c r="G138" s="4" t="s">
        <v>22</v>
      </c>
      <c r="H138" s="4" t="s">
        <v>24</v>
      </c>
      <c r="I138" s="4" t="s">
        <v>23</v>
      </c>
      <c r="J138" s="4" t="s">
        <v>30</v>
      </c>
      <c r="K138" s="4" t="s">
        <v>22</v>
      </c>
      <c r="L138" s="4" t="s">
        <v>23</v>
      </c>
      <c r="M138" s="4" t="s">
        <v>22</v>
      </c>
      <c r="N138" s="4" t="s">
        <v>23</v>
      </c>
      <c r="O138" s="4" t="s">
        <v>22</v>
      </c>
      <c r="P138" s="4" t="s">
        <v>298</v>
      </c>
      <c r="Q138" s="4" t="s">
        <v>299</v>
      </c>
    </row>
    <row r="139" spans="1:17" ht="22.5" customHeight="1" x14ac:dyDescent="0.2">
      <c r="A139" s="3">
        <v>46135.652998263889</v>
      </c>
      <c r="B139" s="4" t="s">
        <v>47</v>
      </c>
      <c r="C139" s="4" t="s">
        <v>44</v>
      </c>
      <c r="D139" s="4" t="s">
        <v>19</v>
      </c>
      <c r="E139" s="4" t="s">
        <v>56</v>
      </c>
      <c r="F139" s="4" t="s">
        <v>48</v>
      </c>
      <c r="G139" s="4" t="s">
        <v>24</v>
      </c>
      <c r="H139" s="4" t="s">
        <v>30</v>
      </c>
      <c r="I139" s="4" t="s">
        <v>22</v>
      </c>
      <c r="J139" s="4" t="s">
        <v>31</v>
      </c>
      <c r="K139" s="4" t="s">
        <v>22</v>
      </c>
      <c r="L139" s="4" t="s">
        <v>22</v>
      </c>
      <c r="M139" s="4" t="s">
        <v>22</v>
      </c>
      <c r="N139" s="4" t="s">
        <v>22</v>
      </c>
      <c r="O139" s="4" t="s">
        <v>23</v>
      </c>
      <c r="P139" s="4" t="s">
        <v>300</v>
      </c>
      <c r="Q139" s="4" t="s">
        <v>301</v>
      </c>
    </row>
    <row r="140" spans="1:17" ht="22.5" customHeight="1" x14ac:dyDescent="0.2">
      <c r="A140" s="3">
        <v>46136.67868247685</v>
      </c>
      <c r="B140" s="4" t="s">
        <v>107</v>
      </c>
      <c r="C140" s="4" t="s">
        <v>18</v>
      </c>
      <c r="D140" s="4" t="s">
        <v>111</v>
      </c>
      <c r="E140" s="4" t="s">
        <v>56</v>
      </c>
      <c r="F140" s="4" t="s">
        <v>29</v>
      </c>
      <c r="G140" s="4" t="s">
        <v>24</v>
      </c>
      <c r="H140" s="4" t="s">
        <v>22</v>
      </c>
      <c r="I140" s="4" t="s">
        <v>23</v>
      </c>
      <c r="J140" s="4" t="s">
        <v>24</v>
      </c>
      <c r="K140" s="4" t="s">
        <v>23</v>
      </c>
      <c r="L140" s="4" t="s">
        <v>23</v>
      </c>
      <c r="M140" s="4" t="s">
        <v>23</v>
      </c>
      <c r="N140" s="4" t="s">
        <v>22</v>
      </c>
      <c r="O140" s="4" t="s">
        <v>23</v>
      </c>
      <c r="P140" s="4" t="s">
        <v>302</v>
      </c>
      <c r="Q140" s="4" t="s">
        <v>303</v>
      </c>
    </row>
    <row r="141" spans="1:17" ht="22.5" customHeight="1" x14ac:dyDescent="0.2">
      <c r="A141" s="3">
        <v>46145.493629282406</v>
      </c>
      <c r="B141" s="4" t="s">
        <v>66</v>
      </c>
      <c r="C141" s="4" t="s">
        <v>44</v>
      </c>
      <c r="D141" s="4" t="s">
        <v>19</v>
      </c>
      <c r="E141" s="4" t="s">
        <v>28</v>
      </c>
      <c r="F141" s="4" t="s">
        <v>21</v>
      </c>
      <c r="G141" s="4" t="s">
        <v>51</v>
      </c>
      <c r="H141" s="4" t="s">
        <v>23</v>
      </c>
      <c r="I141" s="4" t="s">
        <v>24</v>
      </c>
      <c r="J141" s="4" t="s">
        <v>24</v>
      </c>
      <c r="K141" s="4" t="s">
        <v>30</v>
      </c>
      <c r="L141" s="4" t="s">
        <v>24</v>
      </c>
      <c r="M141" s="4" t="s">
        <v>24</v>
      </c>
      <c r="N141" s="4" t="s">
        <v>22</v>
      </c>
      <c r="O141" s="4" t="s">
        <v>23</v>
      </c>
      <c r="P141" s="4" t="s">
        <v>304</v>
      </c>
    </row>
    <row r="142" spans="1:17" ht="22.5" customHeight="1" x14ac:dyDescent="0.2">
      <c r="A142" s="3">
        <v>46145.494413449072</v>
      </c>
      <c r="B142" s="4" t="s">
        <v>107</v>
      </c>
      <c r="C142" s="4" t="s">
        <v>44</v>
      </c>
      <c r="D142" s="4" t="s">
        <v>19</v>
      </c>
      <c r="E142" s="4" t="s">
        <v>56</v>
      </c>
      <c r="F142" s="4" t="s">
        <v>21</v>
      </c>
      <c r="G142" s="4" t="s">
        <v>24</v>
      </c>
      <c r="H142" s="4" t="s">
        <v>24</v>
      </c>
      <c r="I142" s="4" t="s">
        <v>30</v>
      </c>
      <c r="J142" s="4" t="s">
        <v>31</v>
      </c>
      <c r="K142" s="4" t="s">
        <v>23</v>
      </c>
      <c r="L142" s="4" t="s">
        <v>30</v>
      </c>
      <c r="M142" s="4" t="s">
        <v>30</v>
      </c>
      <c r="N142" s="4" t="s">
        <v>22</v>
      </c>
      <c r="O142" s="4" t="s">
        <v>24</v>
      </c>
      <c r="P142" s="4" t="s">
        <v>305</v>
      </c>
    </row>
    <row r="143" spans="1:17" ht="22.5" customHeight="1" x14ac:dyDescent="0.2">
      <c r="A143" s="3">
        <v>46145.495307453704</v>
      </c>
      <c r="B143" s="4" t="s">
        <v>136</v>
      </c>
      <c r="C143" s="4" t="s">
        <v>18</v>
      </c>
      <c r="D143" s="4" t="s">
        <v>19</v>
      </c>
      <c r="E143" s="4" t="s">
        <v>36</v>
      </c>
      <c r="F143" s="4" t="s">
        <v>29</v>
      </c>
      <c r="G143" s="4" t="s">
        <v>24</v>
      </c>
      <c r="H143" s="4" t="s">
        <v>24</v>
      </c>
      <c r="I143" s="4" t="s">
        <v>24</v>
      </c>
      <c r="J143" s="4" t="s">
        <v>30</v>
      </c>
      <c r="K143" s="4" t="s">
        <v>24</v>
      </c>
      <c r="L143" s="4" t="s">
        <v>30</v>
      </c>
      <c r="M143" s="4" t="s">
        <v>31</v>
      </c>
      <c r="N143" s="4" t="s">
        <v>24</v>
      </c>
      <c r="O143" s="4" t="s">
        <v>30</v>
      </c>
      <c r="P143" s="4" t="s">
        <v>306</v>
      </c>
    </row>
    <row r="144" spans="1:17" ht="22.5" customHeight="1" x14ac:dyDescent="0.2">
      <c r="A144" s="3">
        <v>46145.496218182874</v>
      </c>
      <c r="B144" s="4" t="s">
        <v>125</v>
      </c>
      <c r="C144" s="4" t="s">
        <v>18</v>
      </c>
      <c r="D144" s="4" t="s">
        <v>19</v>
      </c>
      <c r="E144" s="4" t="s">
        <v>28</v>
      </c>
      <c r="F144" s="4" t="s">
        <v>48</v>
      </c>
      <c r="G144" s="4" t="s">
        <v>30</v>
      </c>
      <c r="H144" s="4" t="s">
        <v>24</v>
      </c>
      <c r="I144" s="4" t="s">
        <v>24</v>
      </c>
      <c r="J144" s="4" t="s">
        <v>24</v>
      </c>
      <c r="K144" s="4" t="s">
        <v>24</v>
      </c>
      <c r="L144" s="4" t="s">
        <v>24</v>
      </c>
      <c r="M144" s="4" t="s">
        <v>24</v>
      </c>
      <c r="N144" s="4" t="s">
        <v>22</v>
      </c>
      <c r="O144" s="4" t="s">
        <v>22</v>
      </c>
      <c r="P144" s="4" t="s">
        <v>307</v>
      </c>
      <c r="Q144" s="4" t="s">
        <v>308</v>
      </c>
    </row>
    <row r="145" spans="1:17" ht="22.5" customHeight="1" x14ac:dyDescent="0.2">
      <c r="A145" s="3">
        <v>46145.496925972227</v>
      </c>
      <c r="B145" s="4" t="s">
        <v>136</v>
      </c>
      <c r="C145" s="4" t="s">
        <v>18</v>
      </c>
      <c r="D145" s="4" t="s">
        <v>19</v>
      </c>
      <c r="E145" s="4" t="s">
        <v>36</v>
      </c>
      <c r="F145" s="4" t="s">
        <v>29</v>
      </c>
      <c r="G145" s="4" t="s">
        <v>24</v>
      </c>
      <c r="H145" s="4" t="s">
        <v>24</v>
      </c>
      <c r="I145" s="4" t="s">
        <v>24</v>
      </c>
      <c r="J145" s="4" t="s">
        <v>30</v>
      </c>
      <c r="K145" s="4" t="s">
        <v>24</v>
      </c>
      <c r="L145" s="4" t="s">
        <v>31</v>
      </c>
      <c r="M145" s="4" t="s">
        <v>30</v>
      </c>
      <c r="N145" s="4" t="s">
        <v>30</v>
      </c>
      <c r="O145" s="4" t="s">
        <v>30</v>
      </c>
      <c r="P145" s="4" t="s">
        <v>309</v>
      </c>
    </row>
    <row r="146" spans="1:17" ht="22.5" customHeight="1" x14ac:dyDescent="0.2">
      <c r="A146" s="3">
        <v>46145.49776993056</v>
      </c>
      <c r="B146" s="4" t="s">
        <v>104</v>
      </c>
      <c r="C146" s="4" t="s">
        <v>18</v>
      </c>
      <c r="D146" s="4" t="s">
        <v>19</v>
      </c>
      <c r="E146" s="4" t="s">
        <v>56</v>
      </c>
      <c r="F146" s="4" t="s">
        <v>48</v>
      </c>
      <c r="G146" s="4" t="s">
        <v>24</v>
      </c>
      <c r="H146" s="4" t="s">
        <v>24</v>
      </c>
      <c r="I146" s="4" t="s">
        <v>30</v>
      </c>
      <c r="J146" s="4" t="s">
        <v>30</v>
      </c>
      <c r="K146" s="4" t="s">
        <v>30</v>
      </c>
      <c r="L146" s="4" t="s">
        <v>30</v>
      </c>
      <c r="M146" s="4" t="s">
        <v>30</v>
      </c>
      <c r="N146" s="4" t="s">
        <v>30</v>
      </c>
      <c r="O146" s="4" t="s">
        <v>24</v>
      </c>
      <c r="P146" s="4" t="s">
        <v>310</v>
      </c>
    </row>
    <row r="147" spans="1:17" ht="22.5" customHeight="1" x14ac:dyDescent="0.2">
      <c r="A147" s="3">
        <v>46145.49949746528</v>
      </c>
      <c r="B147" s="4" t="s">
        <v>66</v>
      </c>
      <c r="C147" s="4" t="s">
        <v>18</v>
      </c>
      <c r="D147" s="4" t="s">
        <v>111</v>
      </c>
      <c r="E147" s="4" t="s">
        <v>28</v>
      </c>
      <c r="F147" s="4" t="s">
        <v>21</v>
      </c>
      <c r="G147" s="4" t="s">
        <v>24</v>
      </c>
      <c r="H147" s="4" t="s">
        <v>24</v>
      </c>
      <c r="I147" s="4" t="s">
        <v>24</v>
      </c>
      <c r="J147" s="4" t="s">
        <v>24</v>
      </c>
      <c r="K147" s="4" t="s">
        <v>24</v>
      </c>
      <c r="L147" s="4" t="s">
        <v>24</v>
      </c>
      <c r="M147" s="4" t="s">
        <v>24</v>
      </c>
      <c r="N147" s="4" t="s">
        <v>24</v>
      </c>
      <c r="O147" s="4" t="s">
        <v>24</v>
      </c>
      <c r="P147" s="4" t="s">
        <v>311</v>
      </c>
    </row>
    <row r="148" spans="1:17" ht="22.5" customHeight="1" x14ac:dyDescent="0.2">
      <c r="A148" s="3">
        <v>46145.501639942129</v>
      </c>
      <c r="B148" s="4" t="s">
        <v>125</v>
      </c>
      <c r="C148" s="4" t="s">
        <v>18</v>
      </c>
      <c r="D148" s="4" t="s">
        <v>19</v>
      </c>
      <c r="E148" s="4" t="s">
        <v>56</v>
      </c>
      <c r="F148" s="4" t="s">
        <v>48</v>
      </c>
      <c r="G148" s="4" t="s">
        <v>31</v>
      </c>
      <c r="H148" s="4" t="s">
        <v>31</v>
      </c>
      <c r="I148" s="4" t="s">
        <v>31</v>
      </c>
      <c r="J148" s="4" t="s">
        <v>30</v>
      </c>
      <c r="K148" s="4" t="s">
        <v>30</v>
      </c>
      <c r="L148" s="4" t="s">
        <v>24</v>
      </c>
      <c r="M148" s="4" t="s">
        <v>24</v>
      </c>
      <c r="N148" s="4" t="s">
        <v>24</v>
      </c>
      <c r="O148" s="4" t="s">
        <v>24</v>
      </c>
      <c r="P148" s="4" t="s">
        <v>312</v>
      </c>
    </row>
    <row r="149" spans="1:17" ht="22.5" customHeight="1" x14ac:dyDescent="0.2">
      <c r="A149" s="3">
        <v>46145.502401319449</v>
      </c>
      <c r="B149" s="4" t="s">
        <v>104</v>
      </c>
      <c r="C149" s="4" t="s">
        <v>18</v>
      </c>
      <c r="D149" s="4" t="s">
        <v>19</v>
      </c>
      <c r="E149" s="4" t="s">
        <v>36</v>
      </c>
      <c r="F149" s="4" t="s">
        <v>29</v>
      </c>
      <c r="G149" s="4" t="s">
        <v>30</v>
      </c>
      <c r="H149" s="4" t="s">
        <v>30</v>
      </c>
      <c r="I149" s="4" t="s">
        <v>30</v>
      </c>
      <c r="J149" s="4" t="s">
        <v>30</v>
      </c>
      <c r="K149" s="4" t="s">
        <v>30</v>
      </c>
      <c r="L149" s="4" t="s">
        <v>30</v>
      </c>
      <c r="M149" s="4" t="s">
        <v>30</v>
      </c>
      <c r="N149" s="4" t="s">
        <v>30</v>
      </c>
      <c r="O149" s="4" t="s">
        <v>30</v>
      </c>
      <c r="P149" s="4" t="s">
        <v>313</v>
      </c>
    </row>
    <row r="150" spans="1:17" ht="22.5" customHeight="1" x14ac:dyDescent="0.2">
      <c r="A150" s="3">
        <v>46145.503065636571</v>
      </c>
      <c r="B150" s="4" t="s">
        <v>104</v>
      </c>
      <c r="C150" s="4" t="s">
        <v>18</v>
      </c>
      <c r="D150" s="4" t="s">
        <v>19</v>
      </c>
      <c r="E150" s="4" t="s">
        <v>267</v>
      </c>
      <c r="F150" s="4" t="s">
        <v>29</v>
      </c>
      <c r="G150" s="4" t="s">
        <v>24</v>
      </c>
      <c r="H150" s="4" t="s">
        <v>30</v>
      </c>
      <c r="I150" s="4" t="s">
        <v>30</v>
      </c>
      <c r="J150" s="4" t="s">
        <v>30</v>
      </c>
      <c r="K150" s="4" t="s">
        <v>24</v>
      </c>
      <c r="L150" s="4" t="s">
        <v>24</v>
      </c>
      <c r="M150" s="4" t="s">
        <v>24</v>
      </c>
      <c r="N150" s="4" t="s">
        <v>24</v>
      </c>
      <c r="O150" s="4" t="s">
        <v>24</v>
      </c>
      <c r="P150" s="4" t="s">
        <v>314</v>
      </c>
    </row>
    <row r="151" spans="1:17" ht="22.5" customHeight="1" x14ac:dyDescent="0.2">
      <c r="A151" s="3">
        <v>46145.503755555561</v>
      </c>
      <c r="B151" s="4" t="s">
        <v>125</v>
      </c>
      <c r="C151" s="4" t="s">
        <v>18</v>
      </c>
      <c r="D151" s="4" t="s">
        <v>19</v>
      </c>
      <c r="E151" s="4" t="s">
        <v>56</v>
      </c>
      <c r="F151" s="4" t="s">
        <v>48</v>
      </c>
      <c r="G151" s="4" t="s">
        <v>24</v>
      </c>
      <c r="H151" s="4" t="s">
        <v>24</v>
      </c>
      <c r="I151" s="4" t="s">
        <v>24</v>
      </c>
      <c r="J151" s="4" t="s">
        <v>24</v>
      </c>
      <c r="K151" s="4" t="s">
        <v>24</v>
      </c>
      <c r="L151" s="4" t="s">
        <v>24</v>
      </c>
      <c r="M151" s="4" t="s">
        <v>24</v>
      </c>
      <c r="N151" s="4" t="s">
        <v>24</v>
      </c>
      <c r="O151" s="4" t="s">
        <v>24</v>
      </c>
      <c r="P151" s="4" t="s">
        <v>315</v>
      </c>
    </row>
    <row r="152" spans="1:17" ht="22.5" customHeight="1" x14ac:dyDescent="0.2">
      <c r="A152" s="3">
        <v>46145.504285983799</v>
      </c>
      <c r="B152" s="4" t="s">
        <v>136</v>
      </c>
      <c r="C152" s="4" t="s">
        <v>122</v>
      </c>
      <c r="D152" s="4" t="s">
        <v>19</v>
      </c>
      <c r="E152" s="4" t="s">
        <v>56</v>
      </c>
      <c r="F152" s="4" t="s">
        <v>48</v>
      </c>
      <c r="G152" s="4" t="s">
        <v>24</v>
      </c>
      <c r="H152" s="4" t="s">
        <v>30</v>
      </c>
      <c r="I152" s="4" t="s">
        <v>24</v>
      </c>
      <c r="J152" s="4" t="s">
        <v>24</v>
      </c>
      <c r="K152" s="4" t="s">
        <v>24</v>
      </c>
      <c r="L152" s="4" t="s">
        <v>30</v>
      </c>
      <c r="M152" s="4" t="s">
        <v>30</v>
      </c>
      <c r="N152" s="4" t="s">
        <v>30</v>
      </c>
      <c r="O152" s="4" t="s">
        <v>30</v>
      </c>
      <c r="P152" s="4" t="s">
        <v>316</v>
      </c>
    </row>
    <row r="153" spans="1:17" ht="22.5" customHeight="1" x14ac:dyDescent="0.2">
      <c r="A153" s="3">
        <v>46145.505176469909</v>
      </c>
      <c r="B153" s="4" t="s">
        <v>136</v>
      </c>
      <c r="C153" s="4" t="s">
        <v>122</v>
      </c>
      <c r="D153" s="4" t="s">
        <v>19</v>
      </c>
      <c r="E153" s="4" t="s">
        <v>56</v>
      </c>
      <c r="F153" s="4" t="s">
        <v>48</v>
      </c>
      <c r="G153" s="4" t="s">
        <v>30</v>
      </c>
      <c r="H153" s="4" t="s">
        <v>30</v>
      </c>
      <c r="I153" s="4" t="s">
        <v>30</v>
      </c>
      <c r="J153" s="4" t="s">
        <v>30</v>
      </c>
      <c r="K153" s="4" t="s">
        <v>30</v>
      </c>
      <c r="L153" s="4" t="s">
        <v>30</v>
      </c>
      <c r="M153" s="4" t="s">
        <v>30</v>
      </c>
      <c r="N153" s="4" t="s">
        <v>30</v>
      </c>
      <c r="O153" s="4" t="s">
        <v>30</v>
      </c>
      <c r="P153" s="4" t="s">
        <v>317</v>
      </c>
    </row>
    <row r="154" spans="1:17" ht="22.5" customHeight="1" x14ac:dyDescent="0.2">
      <c r="A154" s="3">
        <v>46145.508460902776</v>
      </c>
      <c r="B154" s="4" t="s">
        <v>136</v>
      </c>
      <c r="C154" s="4" t="s">
        <v>122</v>
      </c>
      <c r="D154" s="4" t="s">
        <v>19</v>
      </c>
      <c r="E154" s="4" t="s">
        <v>36</v>
      </c>
      <c r="F154" s="4" t="s">
        <v>29</v>
      </c>
      <c r="G154" s="4" t="s">
        <v>30</v>
      </c>
      <c r="H154" s="4" t="s">
        <v>30</v>
      </c>
      <c r="I154" s="4" t="s">
        <v>24</v>
      </c>
      <c r="J154" s="4" t="s">
        <v>24</v>
      </c>
      <c r="K154" s="4" t="s">
        <v>30</v>
      </c>
      <c r="L154" s="4" t="s">
        <v>30</v>
      </c>
      <c r="M154" s="4" t="s">
        <v>24</v>
      </c>
      <c r="N154" s="4" t="s">
        <v>30</v>
      </c>
      <c r="O154" s="4" t="s">
        <v>30</v>
      </c>
      <c r="P154" s="4" t="s">
        <v>318</v>
      </c>
    </row>
    <row r="155" spans="1:17" ht="22.5" customHeight="1" x14ac:dyDescent="0.2">
      <c r="A155" s="3">
        <v>46146.526857662036</v>
      </c>
      <c r="B155" s="4" t="s">
        <v>47</v>
      </c>
      <c r="C155" s="4" t="s">
        <v>18</v>
      </c>
      <c r="D155" s="4" t="s">
        <v>19</v>
      </c>
      <c r="E155" s="4" t="s">
        <v>20</v>
      </c>
      <c r="F155" s="4" t="s">
        <v>29</v>
      </c>
      <c r="G155" s="4" t="s">
        <v>24</v>
      </c>
      <c r="H155" s="4" t="s">
        <v>23</v>
      </c>
      <c r="I155" s="4" t="s">
        <v>30</v>
      </c>
      <c r="J155" s="4" t="s">
        <v>24</v>
      </c>
      <c r="K155" s="4" t="s">
        <v>30</v>
      </c>
      <c r="L155" s="4" t="s">
        <v>24</v>
      </c>
      <c r="M155" s="4" t="s">
        <v>30</v>
      </c>
      <c r="N155" s="4" t="s">
        <v>22</v>
      </c>
      <c r="O155" s="4" t="s">
        <v>24</v>
      </c>
      <c r="P155" s="4" t="s">
        <v>319</v>
      </c>
    </row>
    <row r="156" spans="1:17" ht="22.5" customHeight="1" x14ac:dyDescent="0.2">
      <c r="A156" s="3">
        <v>46146.52735016204</v>
      </c>
      <c r="B156" s="4" t="s">
        <v>17</v>
      </c>
      <c r="C156" s="4" t="s">
        <v>18</v>
      </c>
      <c r="D156" s="4" t="s">
        <v>108</v>
      </c>
      <c r="E156" s="4" t="s">
        <v>28</v>
      </c>
      <c r="F156" s="4" t="s">
        <v>29</v>
      </c>
      <c r="G156" s="4" t="s">
        <v>30</v>
      </c>
      <c r="H156" s="4" t="s">
        <v>30</v>
      </c>
      <c r="I156" s="4" t="s">
        <v>24</v>
      </c>
      <c r="J156" s="4" t="s">
        <v>30</v>
      </c>
      <c r="K156" s="4" t="s">
        <v>24</v>
      </c>
      <c r="L156" s="4" t="s">
        <v>30</v>
      </c>
      <c r="M156" s="4" t="s">
        <v>24</v>
      </c>
      <c r="N156" s="4" t="s">
        <v>22</v>
      </c>
      <c r="O156" s="4" t="s">
        <v>24</v>
      </c>
      <c r="P156" s="4" t="s">
        <v>320</v>
      </c>
      <c r="Q156" s="4" t="s">
        <v>321</v>
      </c>
    </row>
    <row r="157" spans="1:17" ht="22.5" customHeight="1" x14ac:dyDescent="0.2">
      <c r="A157" s="3">
        <v>46146.527365972222</v>
      </c>
      <c r="B157" s="4" t="s">
        <v>17</v>
      </c>
      <c r="C157" s="4" t="s">
        <v>18</v>
      </c>
      <c r="D157" s="4" t="s">
        <v>108</v>
      </c>
      <c r="E157" s="4" t="s">
        <v>36</v>
      </c>
      <c r="F157" s="4" t="s">
        <v>21</v>
      </c>
      <c r="G157" s="4" t="s">
        <v>30</v>
      </c>
      <c r="H157" s="4" t="s">
        <v>30</v>
      </c>
      <c r="I157" s="4" t="s">
        <v>31</v>
      </c>
      <c r="J157" s="4" t="s">
        <v>31</v>
      </c>
      <c r="K157" s="4" t="s">
        <v>24</v>
      </c>
      <c r="L157" s="4" t="s">
        <v>24</v>
      </c>
      <c r="M157" s="4" t="s">
        <v>30</v>
      </c>
      <c r="N157" s="4" t="s">
        <v>31</v>
      </c>
      <c r="O157" s="4" t="s">
        <v>30</v>
      </c>
      <c r="P157" s="4" t="s">
        <v>322</v>
      </c>
      <c r="Q157" s="4" t="s">
        <v>323</v>
      </c>
    </row>
    <row r="158" spans="1:17" ht="22.5" customHeight="1" x14ac:dyDescent="0.2">
      <c r="A158" s="3">
        <v>46147.657614664349</v>
      </c>
      <c r="B158" s="4" t="s">
        <v>295</v>
      </c>
      <c r="C158" s="4" t="s">
        <v>44</v>
      </c>
      <c r="D158" s="4" t="s">
        <v>111</v>
      </c>
      <c r="E158" s="4" t="s">
        <v>20</v>
      </c>
      <c r="F158" s="4" t="s">
        <v>91</v>
      </c>
      <c r="G158" s="4" t="s">
        <v>31</v>
      </c>
      <c r="H158" s="4" t="s">
        <v>30</v>
      </c>
      <c r="I158" s="4" t="s">
        <v>31</v>
      </c>
      <c r="J158" s="4" t="s">
        <v>31</v>
      </c>
      <c r="K158" s="4" t="s">
        <v>30</v>
      </c>
      <c r="L158" s="4" t="s">
        <v>31</v>
      </c>
      <c r="M158" s="4" t="s">
        <v>31</v>
      </c>
      <c r="N158" s="4" t="s">
        <v>31</v>
      </c>
      <c r="O158" s="4" t="s">
        <v>30</v>
      </c>
      <c r="P158" s="4" t="s">
        <v>324</v>
      </c>
    </row>
    <row r="159" spans="1:17" ht="22.5" customHeight="1" x14ac:dyDescent="0.2">
      <c r="A159" s="3">
        <v>46147.659845254631</v>
      </c>
      <c r="B159" s="4" t="s">
        <v>295</v>
      </c>
      <c r="C159" s="4" t="s">
        <v>44</v>
      </c>
      <c r="D159" s="4" t="s">
        <v>111</v>
      </c>
      <c r="E159" s="4" t="s">
        <v>20</v>
      </c>
      <c r="F159" s="4" t="s">
        <v>91</v>
      </c>
      <c r="G159" s="4" t="s">
        <v>30</v>
      </c>
      <c r="H159" s="4" t="s">
        <v>30</v>
      </c>
      <c r="I159" s="4" t="s">
        <v>31</v>
      </c>
      <c r="J159" s="4" t="s">
        <v>31</v>
      </c>
      <c r="K159" s="4" t="s">
        <v>30</v>
      </c>
      <c r="L159" s="4" t="s">
        <v>30</v>
      </c>
      <c r="M159" s="4" t="s">
        <v>31</v>
      </c>
      <c r="N159" s="4" t="s">
        <v>31</v>
      </c>
      <c r="O159" s="4" t="s">
        <v>30</v>
      </c>
      <c r="P159" s="4" t="s">
        <v>325</v>
      </c>
    </row>
    <row r="160" spans="1:17" ht="22.5" customHeight="1" x14ac:dyDescent="0.2">
      <c r="A160" s="3">
        <v>46147.661002581022</v>
      </c>
      <c r="B160" s="4" t="s">
        <v>148</v>
      </c>
      <c r="C160" s="4" t="s">
        <v>18</v>
      </c>
      <c r="D160" s="4" t="s">
        <v>111</v>
      </c>
      <c r="E160" s="4" t="s">
        <v>28</v>
      </c>
      <c r="F160" s="4" t="s">
        <v>91</v>
      </c>
      <c r="G160" s="4" t="s">
        <v>31</v>
      </c>
      <c r="H160" s="4" t="s">
        <v>31</v>
      </c>
      <c r="I160" s="4" t="s">
        <v>30</v>
      </c>
      <c r="J160" s="4" t="s">
        <v>30</v>
      </c>
      <c r="K160" s="4" t="s">
        <v>31</v>
      </c>
      <c r="L160" s="4" t="s">
        <v>30</v>
      </c>
      <c r="M160" s="4" t="s">
        <v>30</v>
      </c>
      <c r="N160" s="4" t="s">
        <v>31</v>
      </c>
      <c r="O160" s="4" t="s">
        <v>30</v>
      </c>
      <c r="P160" s="4" t="s">
        <v>326</v>
      </c>
    </row>
    <row r="161" spans="1:17" ht="22.5" customHeight="1" x14ac:dyDescent="0.2">
      <c r="A161" s="3">
        <v>46147.661521678237</v>
      </c>
      <c r="B161" s="4" t="s">
        <v>148</v>
      </c>
      <c r="C161" s="4" t="s">
        <v>18</v>
      </c>
      <c r="D161" s="4" t="s">
        <v>111</v>
      </c>
      <c r="E161" s="4" t="s">
        <v>56</v>
      </c>
      <c r="F161" s="4" t="s">
        <v>91</v>
      </c>
      <c r="G161" s="4" t="s">
        <v>30</v>
      </c>
      <c r="H161" s="4" t="s">
        <v>30</v>
      </c>
      <c r="I161" s="4" t="s">
        <v>30</v>
      </c>
      <c r="J161" s="4" t="s">
        <v>30</v>
      </c>
      <c r="K161" s="4" t="s">
        <v>30</v>
      </c>
      <c r="L161" s="4" t="s">
        <v>31</v>
      </c>
      <c r="M161" s="4" t="s">
        <v>30</v>
      </c>
      <c r="N161" s="4" t="s">
        <v>24</v>
      </c>
      <c r="O161" s="4" t="s">
        <v>31</v>
      </c>
      <c r="P161" s="4" t="s">
        <v>327</v>
      </c>
    </row>
    <row r="162" spans="1:17" ht="22.5" customHeight="1" x14ac:dyDescent="0.2">
      <c r="A162" s="3">
        <v>46147.662435312501</v>
      </c>
      <c r="B162" s="4" t="s">
        <v>66</v>
      </c>
      <c r="C162" s="4" t="s">
        <v>18</v>
      </c>
      <c r="D162" s="4" t="s">
        <v>111</v>
      </c>
      <c r="E162" s="4" t="s">
        <v>56</v>
      </c>
      <c r="F162" s="4" t="s">
        <v>21</v>
      </c>
      <c r="G162" s="4" t="s">
        <v>24</v>
      </c>
      <c r="H162" s="4" t="s">
        <v>24</v>
      </c>
      <c r="I162" s="4" t="s">
        <v>30</v>
      </c>
      <c r="J162" s="4" t="s">
        <v>30</v>
      </c>
      <c r="K162" s="4" t="s">
        <v>24</v>
      </c>
      <c r="L162" s="4" t="s">
        <v>24</v>
      </c>
      <c r="M162" s="4" t="s">
        <v>30</v>
      </c>
      <c r="N162" s="4" t="s">
        <v>30</v>
      </c>
      <c r="O162" s="4" t="s">
        <v>24</v>
      </c>
      <c r="P162" s="4" t="s">
        <v>328</v>
      </c>
      <c r="Q162" s="4" t="s">
        <v>329</v>
      </c>
    </row>
    <row r="163" spans="1:17" ht="22.5" customHeight="1" x14ac:dyDescent="0.2">
      <c r="A163" s="3">
        <v>46147.664009930551</v>
      </c>
      <c r="B163" s="4" t="s">
        <v>66</v>
      </c>
      <c r="C163" s="4" t="s">
        <v>44</v>
      </c>
      <c r="D163" s="4" t="s">
        <v>111</v>
      </c>
      <c r="E163" s="4" t="s">
        <v>56</v>
      </c>
      <c r="F163" s="4" t="s">
        <v>21</v>
      </c>
      <c r="G163" s="4" t="s">
        <v>24</v>
      </c>
      <c r="H163" s="4" t="s">
        <v>24</v>
      </c>
      <c r="I163" s="4" t="s">
        <v>30</v>
      </c>
      <c r="J163" s="4" t="s">
        <v>30</v>
      </c>
      <c r="K163" s="4" t="s">
        <v>24</v>
      </c>
      <c r="L163" s="4" t="s">
        <v>24</v>
      </c>
      <c r="M163" s="4" t="s">
        <v>30</v>
      </c>
      <c r="N163" s="4" t="s">
        <v>30</v>
      </c>
      <c r="O163" s="4" t="s">
        <v>24</v>
      </c>
      <c r="P163" s="4" t="s">
        <v>330</v>
      </c>
    </row>
    <row r="164" spans="1:17" ht="22.5" customHeight="1" x14ac:dyDescent="0.2">
      <c r="A164" s="3">
        <v>46147.669626932868</v>
      </c>
      <c r="B164" s="4" t="s">
        <v>66</v>
      </c>
      <c r="C164" s="4" t="s">
        <v>18</v>
      </c>
      <c r="D164" s="4" t="s">
        <v>19</v>
      </c>
      <c r="E164" s="4" t="s">
        <v>56</v>
      </c>
      <c r="F164" s="4" t="s">
        <v>48</v>
      </c>
      <c r="G164" s="4" t="s">
        <v>24</v>
      </c>
      <c r="H164" s="4" t="s">
        <v>22</v>
      </c>
      <c r="I164" s="4" t="s">
        <v>24</v>
      </c>
      <c r="J164" s="4" t="s">
        <v>24</v>
      </c>
      <c r="K164" s="4" t="s">
        <v>22</v>
      </c>
      <c r="L164" s="4" t="s">
        <v>24</v>
      </c>
      <c r="M164" s="4" t="s">
        <v>24</v>
      </c>
      <c r="N164" s="4" t="s">
        <v>24</v>
      </c>
      <c r="O164" s="4" t="s">
        <v>22</v>
      </c>
      <c r="P164" s="4" t="s">
        <v>331</v>
      </c>
      <c r="Q164" s="4" t="s">
        <v>332</v>
      </c>
    </row>
    <row r="165" spans="1:17" ht="22.5" customHeight="1" x14ac:dyDescent="0.2">
      <c r="A165" s="3">
        <v>46147.670714814813</v>
      </c>
      <c r="B165" s="4" t="s">
        <v>107</v>
      </c>
      <c r="C165" s="4" t="s">
        <v>18</v>
      </c>
      <c r="D165" s="4" t="s">
        <v>19</v>
      </c>
      <c r="E165" s="4" t="s">
        <v>56</v>
      </c>
      <c r="F165" s="4" t="s">
        <v>48</v>
      </c>
      <c r="G165" s="4" t="s">
        <v>24</v>
      </c>
      <c r="H165" s="4" t="s">
        <v>24</v>
      </c>
      <c r="I165" s="4" t="s">
        <v>24</v>
      </c>
      <c r="J165" s="4" t="s">
        <v>24</v>
      </c>
      <c r="K165" s="4" t="s">
        <v>24</v>
      </c>
      <c r="L165" s="4" t="s">
        <v>22</v>
      </c>
      <c r="M165" s="4" t="s">
        <v>22</v>
      </c>
      <c r="N165" s="4" t="s">
        <v>24</v>
      </c>
      <c r="O165" s="4" t="s">
        <v>22</v>
      </c>
      <c r="P165" s="4" t="s">
        <v>333</v>
      </c>
      <c r="Q165" s="4" t="s">
        <v>334</v>
      </c>
    </row>
    <row r="166" spans="1:17" ht="22.5" customHeight="1" x14ac:dyDescent="0.2">
      <c r="A166" s="3">
        <v>46147.671359456013</v>
      </c>
      <c r="B166" s="4" t="s">
        <v>107</v>
      </c>
      <c r="C166" s="4" t="s">
        <v>18</v>
      </c>
      <c r="D166" s="4" t="s">
        <v>19</v>
      </c>
      <c r="E166" s="4" t="s">
        <v>56</v>
      </c>
      <c r="F166" s="4" t="s">
        <v>48</v>
      </c>
      <c r="G166" s="4" t="s">
        <v>22</v>
      </c>
      <c r="H166" s="4" t="s">
        <v>22</v>
      </c>
      <c r="I166" s="4" t="s">
        <v>22</v>
      </c>
      <c r="J166" s="4" t="s">
        <v>24</v>
      </c>
      <c r="K166" s="4" t="s">
        <v>22</v>
      </c>
      <c r="L166" s="4" t="s">
        <v>24</v>
      </c>
      <c r="M166" s="4" t="s">
        <v>24</v>
      </c>
      <c r="N166" s="4" t="s">
        <v>22</v>
      </c>
      <c r="O166" s="4" t="s">
        <v>22</v>
      </c>
      <c r="P166" s="4" t="s">
        <v>335</v>
      </c>
    </row>
    <row r="167" spans="1:17" ht="22.5" customHeight="1" x14ac:dyDescent="0.2">
      <c r="A167" s="3">
        <v>46147.673376863429</v>
      </c>
      <c r="B167" s="4" t="s">
        <v>107</v>
      </c>
      <c r="C167" s="4" t="s">
        <v>18</v>
      </c>
      <c r="D167" s="4" t="s">
        <v>19</v>
      </c>
      <c r="E167" s="4" t="s">
        <v>36</v>
      </c>
      <c r="F167" s="4" t="s">
        <v>48</v>
      </c>
      <c r="G167" s="4" t="s">
        <v>24</v>
      </c>
      <c r="H167" s="4" t="s">
        <v>24</v>
      </c>
      <c r="I167" s="4" t="s">
        <v>24</v>
      </c>
      <c r="J167" s="4" t="s">
        <v>24</v>
      </c>
      <c r="K167" s="4" t="s">
        <v>22</v>
      </c>
      <c r="L167" s="4" t="s">
        <v>22</v>
      </c>
      <c r="M167" s="4" t="s">
        <v>22</v>
      </c>
      <c r="N167" s="4" t="s">
        <v>22</v>
      </c>
      <c r="O167" s="4" t="s">
        <v>22</v>
      </c>
      <c r="P167" s="4" t="s">
        <v>336</v>
      </c>
      <c r="Q167" s="4" t="s">
        <v>337</v>
      </c>
    </row>
    <row r="168" spans="1:17" ht="22.5" customHeight="1" x14ac:dyDescent="0.2">
      <c r="A168" s="3">
        <v>46147.674282361113</v>
      </c>
      <c r="B168" s="4" t="s">
        <v>125</v>
      </c>
      <c r="C168" s="4" t="s">
        <v>18</v>
      </c>
      <c r="D168" s="4" t="s">
        <v>19</v>
      </c>
      <c r="E168" s="4" t="s">
        <v>36</v>
      </c>
      <c r="F168" s="4" t="s">
        <v>21</v>
      </c>
      <c r="G168" s="4" t="s">
        <v>22</v>
      </c>
      <c r="H168" s="4" t="s">
        <v>23</v>
      </c>
      <c r="I168" s="4" t="s">
        <v>22</v>
      </c>
      <c r="J168" s="4" t="s">
        <v>22</v>
      </c>
      <c r="K168" s="4" t="s">
        <v>23</v>
      </c>
      <c r="L168" s="4" t="s">
        <v>22</v>
      </c>
      <c r="M168" s="4" t="s">
        <v>22</v>
      </c>
      <c r="N168" s="4" t="s">
        <v>22</v>
      </c>
      <c r="O168" s="4" t="s">
        <v>23</v>
      </c>
      <c r="P168" s="4" t="s">
        <v>338</v>
      </c>
    </row>
    <row r="169" spans="1:17" ht="22.5" customHeight="1" x14ac:dyDescent="0.2">
      <c r="A169" s="3">
        <v>46147.674937476855</v>
      </c>
      <c r="B169" s="4" t="s">
        <v>125</v>
      </c>
      <c r="C169" s="4" t="s">
        <v>44</v>
      </c>
      <c r="D169" s="4" t="s">
        <v>19</v>
      </c>
      <c r="E169" s="4" t="s">
        <v>56</v>
      </c>
      <c r="F169" s="4" t="s">
        <v>21</v>
      </c>
      <c r="G169" s="4" t="s">
        <v>24</v>
      </c>
      <c r="H169" s="4" t="s">
        <v>22</v>
      </c>
      <c r="I169" s="4" t="s">
        <v>24</v>
      </c>
      <c r="J169" s="4" t="s">
        <v>24</v>
      </c>
      <c r="K169" s="4" t="s">
        <v>22</v>
      </c>
      <c r="L169" s="4" t="s">
        <v>22</v>
      </c>
      <c r="M169" s="4" t="s">
        <v>24</v>
      </c>
      <c r="N169" s="4" t="s">
        <v>24</v>
      </c>
      <c r="O169" s="4" t="s">
        <v>22</v>
      </c>
      <c r="P169" s="4" t="s">
        <v>339</v>
      </c>
    </row>
    <row r="170" spans="1:17" ht="22.5" customHeight="1" x14ac:dyDescent="0.2">
      <c r="A170" s="3">
        <v>46147.676225324074</v>
      </c>
      <c r="B170" s="4" t="s">
        <v>125</v>
      </c>
      <c r="C170" s="4" t="s">
        <v>18</v>
      </c>
      <c r="D170" s="4" t="s">
        <v>19</v>
      </c>
      <c r="E170" s="4" t="s">
        <v>36</v>
      </c>
      <c r="F170" s="4" t="s">
        <v>21</v>
      </c>
      <c r="G170" s="4" t="s">
        <v>22</v>
      </c>
      <c r="H170" s="4" t="s">
        <v>23</v>
      </c>
      <c r="I170" s="4" t="s">
        <v>23</v>
      </c>
      <c r="J170" s="4" t="s">
        <v>22</v>
      </c>
      <c r="K170" s="4" t="s">
        <v>23</v>
      </c>
      <c r="L170" s="4" t="s">
        <v>23</v>
      </c>
      <c r="M170" s="4" t="s">
        <v>22</v>
      </c>
      <c r="N170" s="4" t="s">
        <v>22</v>
      </c>
      <c r="O170" s="4" t="s">
        <v>23</v>
      </c>
      <c r="P170" s="4" t="s">
        <v>340</v>
      </c>
      <c r="Q170" s="4" t="s">
        <v>341</v>
      </c>
    </row>
    <row r="171" spans="1:17" ht="22.5" customHeight="1" x14ac:dyDescent="0.2">
      <c r="A171" s="3">
        <v>46147.67701186343</v>
      </c>
      <c r="B171" s="4" t="s">
        <v>125</v>
      </c>
      <c r="C171" s="4" t="s">
        <v>18</v>
      </c>
      <c r="D171" s="4" t="s">
        <v>19</v>
      </c>
      <c r="E171" s="4" t="s">
        <v>36</v>
      </c>
      <c r="F171" s="4" t="s">
        <v>48</v>
      </c>
      <c r="G171" s="4" t="s">
        <v>22</v>
      </c>
      <c r="H171" s="4" t="s">
        <v>22</v>
      </c>
      <c r="I171" s="4" t="s">
        <v>22</v>
      </c>
      <c r="J171" s="4" t="s">
        <v>22</v>
      </c>
      <c r="K171" s="4" t="s">
        <v>22</v>
      </c>
      <c r="L171" s="4" t="s">
        <v>22</v>
      </c>
      <c r="M171" s="4" t="s">
        <v>22</v>
      </c>
      <c r="N171" s="4" t="s">
        <v>22</v>
      </c>
      <c r="O171" s="4" t="s">
        <v>22</v>
      </c>
      <c r="P171" s="4" t="s">
        <v>342</v>
      </c>
    </row>
    <row r="172" spans="1:17" ht="22.5" customHeight="1" x14ac:dyDescent="0.2">
      <c r="A172" s="3">
        <v>46147.678959618061</v>
      </c>
      <c r="B172" s="4" t="s">
        <v>104</v>
      </c>
      <c r="C172" s="4" t="s">
        <v>44</v>
      </c>
      <c r="D172" s="4" t="s">
        <v>27</v>
      </c>
      <c r="E172" s="4" t="s">
        <v>36</v>
      </c>
      <c r="F172" s="4" t="s">
        <v>21</v>
      </c>
      <c r="G172" s="4" t="s">
        <v>22</v>
      </c>
      <c r="H172" s="4" t="s">
        <v>23</v>
      </c>
      <c r="I172" s="4" t="s">
        <v>22</v>
      </c>
      <c r="J172" s="4" t="s">
        <v>22</v>
      </c>
      <c r="K172" s="4" t="s">
        <v>23</v>
      </c>
      <c r="L172" s="4" t="s">
        <v>22</v>
      </c>
      <c r="M172" s="4" t="s">
        <v>22</v>
      </c>
      <c r="N172" s="4" t="s">
        <v>22</v>
      </c>
      <c r="O172" s="4" t="s">
        <v>23</v>
      </c>
      <c r="P172" s="4" t="s">
        <v>343</v>
      </c>
      <c r="Q172" s="4" t="s">
        <v>344</v>
      </c>
    </row>
    <row r="173" spans="1:17" ht="22.5" customHeight="1" x14ac:dyDescent="0.2">
      <c r="A173" s="3">
        <v>46147.680123715283</v>
      </c>
      <c r="B173" s="4" t="s">
        <v>104</v>
      </c>
      <c r="C173" s="4" t="s">
        <v>18</v>
      </c>
      <c r="D173" s="4" t="s">
        <v>27</v>
      </c>
      <c r="E173" s="4" t="s">
        <v>36</v>
      </c>
      <c r="F173" s="4" t="s">
        <v>21</v>
      </c>
      <c r="G173" s="4" t="s">
        <v>51</v>
      </c>
      <c r="H173" s="4" t="s">
        <v>23</v>
      </c>
      <c r="I173" s="4" t="s">
        <v>23</v>
      </c>
      <c r="J173" s="4" t="s">
        <v>22</v>
      </c>
      <c r="K173" s="4" t="s">
        <v>22</v>
      </c>
      <c r="L173" s="4" t="s">
        <v>23</v>
      </c>
      <c r="M173" s="4" t="s">
        <v>22</v>
      </c>
      <c r="N173" s="4" t="s">
        <v>22</v>
      </c>
      <c r="O173" s="4" t="s">
        <v>22</v>
      </c>
      <c r="P173" s="4" t="s">
        <v>345</v>
      </c>
      <c r="Q173" s="4" t="s">
        <v>346</v>
      </c>
    </row>
    <row r="174" spans="1:17" ht="22.5" customHeight="1" x14ac:dyDescent="0.2">
      <c r="A174" s="3">
        <v>46147.680874791666</v>
      </c>
      <c r="B174" s="4" t="s">
        <v>104</v>
      </c>
      <c r="C174" s="4" t="s">
        <v>18</v>
      </c>
      <c r="D174" s="4" t="s">
        <v>19</v>
      </c>
      <c r="E174" s="4" t="s">
        <v>36</v>
      </c>
      <c r="F174" s="4" t="s">
        <v>21</v>
      </c>
      <c r="G174" s="4" t="s">
        <v>22</v>
      </c>
      <c r="H174" s="4" t="s">
        <v>24</v>
      </c>
      <c r="I174" s="4" t="s">
        <v>22</v>
      </c>
      <c r="J174" s="4" t="s">
        <v>22</v>
      </c>
      <c r="K174" s="4" t="s">
        <v>22</v>
      </c>
      <c r="L174" s="4" t="s">
        <v>22</v>
      </c>
      <c r="M174" s="4" t="s">
        <v>24</v>
      </c>
      <c r="N174" s="4" t="s">
        <v>23</v>
      </c>
      <c r="O174" s="4" t="s">
        <v>23</v>
      </c>
      <c r="P174" s="4" t="s">
        <v>347</v>
      </c>
    </row>
    <row r="175" spans="1:17" ht="22.5" customHeight="1" x14ac:dyDescent="0.2">
      <c r="A175" s="3">
        <v>46147.681599421296</v>
      </c>
      <c r="B175" s="4" t="s">
        <v>136</v>
      </c>
      <c r="C175" s="4" t="s">
        <v>18</v>
      </c>
      <c r="D175" s="4" t="s">
        <v>27</v>
      </c>
      <c r="E175" s="4" t="s">
        <v>36</v>
      </c>
      <c r="F175" s="4" t="s">
        <v>48</v>
      </c>
      <c r="G175" s="4" t="s">
        <v>22</v>
      </c>
      <c r="H175" s="4" t="s">
        <v>22</v>
      </c>
      <c r="I175" s="4" t="s">
        <v>22</v>
      </c>
      <c r="J175" s="4" t="s">
        <v>22</v>
      </c>
      <c r="K175" s="4" t="s">
        <v>22</v>
      </c>
      <c r="L175" s="4" t="s">
        <v>22</v>
      </c>
      <c r="M175" s="4" t="s">
        <v>22</v>
      </c>
      <c r="N175" s="4" t="s">
        <v>22</v>
      </c>
      <c r="O175" s="4" t="s">
        <v>22</v>
      </c>
      <c r="P175" s="4" t="s">
        <v>348</v>
      </c>
      <c r="Q175" s="4" t="s">
        <v>349</v>
      </c>
    </row>
    <row r="176" spans="1:17" ht="22.5" customHeight="1" x14ac:dyDescent="0.2">
      <c r="A176" s="3">
        <v>46147.682534629625</v>
      </c>
      <c r="B176" s="4" t="s">
        <v>136</v>
      </c>
      <c r="C176" s="4" t="s">
        <v>44</v>
      </c>
      <c r="D176" s="4" t="s">
        <v>27</v>
      </c>
      <c r="E176" s="4" t="s">
        <v>36</v>
      </c>
      <c r="F176" s="4" t="s">
        <v>48</v>
      </c>
      <c r="G176" s="4" t="s">
        <v>51</v>
      </c>
      <c r="H176" s="4" t="s">
        <v>23</v>
      </c>
      <c r="I176" s="4" t="s">
        <v>23</v>
      </c>
      <c r="J176" s="4" t="s">
        <v>23</v>
      </c>
      <c r="K176" s="4" t="s">
        <v>23</v>
      </c>
      <c r="L176" s="4" t="s">
        <v>23</v>
      </c>
      <c r="M176" s="4" t="s">
        <v>23</v>
      </c>
      <c r="N176" s="4" t="s">
        <v>23</v>
      </c>
      <c r="O176" s="4" t="s">
        <v>23</v>
      </c>
      <c r="P176" s="4" t="s">
        <v>350</v>
      </c>
      <c r="Q176" s="4" t="s">
        <v>351</v>
      </c>
    </row>
    <row r="177" spans="1:17" ht="22.5" customHeight="1" x14ac:dyDescent="0.2">
      <c r="A177" s="3">
        <v>46147.684601655092</v>
      </c>
      <c r="B177" s="4" t="s">
        <v>136</v>
      </c>
      <c r="C177" s="4" t="s">
        <v>44</v>
      </c>
      <c r="D177" s="4" t="s">
        <v>27</v>
      </c>
      <c r="E177" s="4" t="s">
        <v>36</v>
      </c>
      <c r="F177" s="4" t="s">
        <v>29</v>
      </c>
      <c r="G177" s="4" t="s">
        <v>22</v>
      </c>
      <c r="H177" s="4" t="s">
        <v>23</v>
      </c>
      <c r="I177" s="4" t="s">
        <v>22</v>
      </c>
      <c r="J177" s="4" t="s">
        <v>22</v>
      </c>
      <c r="K177" s="4" t="s">
        <v>22</v>
      </c>
      <c r="L177" s="4" t="s">
        <v>23</v>
      </c>
      <c r="M177" s="4" t="s">
        <v>22</v>
      </c>
      <c r="N177" s="4" t="s">
        <v>22</v>
      </c>
      <c r="O177" s="4" t="s">
        <v>22</v>
      </c>
      <c r="P177" s="4" t="s">
        <v>352</v>
      </c>
      <c r="Q177" s="4" t="s">
        <v>353</v>
      </c>
    </row>
    <row r="178" spans="1:17" ht="22.5" customHeight="1" x14ac:dyDescent="0.2">
      <c r="A178" s="3">
        <v>46147.688000613431</v>
      </c>
      <c r="B178" s="4" t="s">
        <v>47</v>
      </c>
      <c r="C178" s="4" t="s">
        <v>18</v>
      </c>
      <c r="D178" s="4" t="s">
        <v>27</v>
      </c>
      <c r="E178" s="4" t="s">
        <v>56</v>
      </c>
      <c r="F178" s="4" t="s">
        <v>48</v>
      </c>
      <c r="G178" s="4" t="s">
        <v>22</v>
      </c>
      <c r="H178" s="4" t="s">
        <v>24</v>
      </c>
      <c r="I178" s="4" t="s">
        <v>22</v>
      </c>
      <c r="J178" s="4" t="s">
        <v>22</v>
      </c>
      <c r="K178" s="4" t="s">
        <v>23</v>
      </c>
      <c r="L178" s="4" t="s">
        <v>22</v>
      </c>
      <c r="M178" s="4" t="s">
        <v>22</v>
      </c>
      <c r="N178" s="4" t="s">
        <v>22</v>
      </c>
      <c r="O178" s="4" t="s">
        <v>22</v>
      </c>
      <c r="P178" s="4" t="s">
        <v>354</v>
      </c>
    </row>
    <row r="179" spans="1:17" ht="22.5" customHeight="1" x14ac:dyDescent="0.2">
      <c r="A179" s="3">
        <v>46147.688907152777</v>
      </c>
      <c r="B179" s="4" t="s">
        <v>125</v>
      </c>
      <c r="C179" s="4" t="s">
        <v>18</v>
      </c>
      <c r="D179" s="4" t="s">
        <v>19</v>
      </c>
      <c r="E179" s="4" t="s">
        <v>56</v>
      </c>
      <c r="F179" s="4" t="s">
        <v>91</v>
      </c>
      <c r="G179" s="4" t="s">
        <v>24</v>
      </c>
      <c r="H179" s="4" t="s">
        <v>22</v>
      </c>
      <c r="I179" s="4" t="s">
        <v>22</v>
      </c>
      <c r="J179" s="4" t="s">
        <v>23</v>
      </c>
      <c r="K179" s="4" t="s">
        <v>22</v>
      </c>
      <c r="L179" s="4" t="s">
        <v>22</v>
      </c>
      <c r="M179" s="4" t="s">
        <v>22</v>
      </c>
      <c r="N179" s="4" t="s">
        <v>22</v>
      </c>
      <c r="O179" s="4" t="s">
        <v>23</v>
      </c>
      <c r="P179" s="4" t="s">
        <v>355</v>
      </c>
      <c r="Q179" s="4" t="s">
        <v>356</v>
      </c>
    </row>
    <row r="180" spans="1:17" ht="22.5" customHeight="1" x14ac:dyDescent="0.2">
      <c r="A180" s="3">
        <v>46147.690013495376</v>
      </c>
      <c r="B180" s="4" t="s">
        <v>47</v>
      </c>
      <c r="C180" s="4" t="s">
        <v>18</v>
      </c>
      <c r="D180" s="4" t="s">
        <v>27</v>
      </c>
      <c r="E180" s="4" t="s">
        <v>267</v>
      </c>
      <c r="F180" s="4" t="s">
        <v>29</v>
      </c>
      <c r="G180" s="4" t="s">
        <v>51</v>
      </c>
      <c r="H180" s="4" t="s">
        <v>23</v>
      </c>
      <c r="I180" s="4" t="s">
        <v>23</v>
      </c>
      <c r="J180" s="4" t="s">
        <v>23</v>
      </c>
      <c r="K180" s="4" t="s">
        <v>23</v>
      </c>
      <c r="L180" s="4" t="s">
        <v>23</v>
      </c>
      <c r="M180" s="4" t="s">
        <v>23</v>
      </c>
      <c r="N180" s="4" t="s">
        <v>23</v>
      </c>
      <c r="O180" s="4" t="s">
        <v>23</v>
      </c>
      <c r="P180" s="4" t="s">
        <v>357</v>
      </c>
      <c r="Q180" s="4" t="s">
        <v>358</v>
      </c>
    </row>
    <row r="181" spans="1:17" ht="22.5" customHeight="1" x14ac:dyDescent="0.2">
      <c r="A181" s="3">
        <v>46147.691020949074</v>
      </c>
      <c r="B181" s="4" t="s">
        <v>47</v>
      </c>
      <c r="C181" s="4" t="s">
        <v>18</v>
      </c>
      <c r="D181" s="4" t="s">
        <v>27</v>
      </c>
      <c r="E181" s="4" t="s">
        <v>36</v>
      </c>
      <c r="F181" s="4" t="s">
        <v>48</v>
      </c>
      <c r="G181" s="4" t="s">
        <v>22</v>
      </c>
      <c r="H181" s="4" t="s">
        <v>22</v>
      </c>
      <c r="I181" s="4" t="s">
        <v>22</v>
      </c>
      <c r="J181" s="4" t="s">
        <v>22</v>
      </c>
      <c r="K181" s="4" t="s">
        <v>22</v>
      </c>
      <c r="L181" s="4" t="s">
        <v>22</v>
      </c>
      <c r="M181" s="4" t="s">
        <v>22</v>
      </c>
      <c r="N181" s="4" t="s">
        <v>22</v>
      </c>
      <c r="O181" s="4" t="s">
        <v>23</v>
      </c>
      <c r="P181" s="4" t="s">
        <v>359</v>
      </c>
    </row>
    <row r="182" spans="1:17" ht="22.5" customHeight="1" x14ac:dyDescent="0.2">
      <c r="A182" s="3">
        <v>46147.691968171297</v>
      </c>
      <c r="B182" s="4" t="s">
        <v>136</v>
      </c>
      <c r="C182" s="4" t="s">
        <v>18</v>
      </c>
      <c r="D182" s="4" t="s">
        <v>27</v>
      </c>
      <c r="E182" s="4" t="s">
        <v>36</v>
      </c>
      <c r="F182" s="4" t="s">
        <v>48</v>
      </c>
      <c r="G182" s="4" t="s">
        <v>22</v>
      </c>
      <c r="H182" s="4" t="s">
        <v>22</v>
      </c>
      <c r="I182" s="4" t="s">
        <v>22</v>
      </c>
      <c r="J182" s="4" t="s">
        <v>22</v>
      </c>
      <c r="K182" s="4" t="s">
        <v>22</v>
      </c>
      <c r="L182" s="4" t="s">
        <v>22</v>
      </c>
      <c r="M182" s="4" t="s">
        <v>22</v>
      </c>
      <c r="N182" s="4" t="s">
        <v>22</v>
      </c>
      <c r="O182" s="4" t="s">
        <v>23</v>
      </c>
      <c r="P182" s="4" t="s">
        <v>360</v>
      </c>
      <c r="Q182" s="4" t="s">
        <v>361</v>
      </c>
    </row>
    <row r="183" spans="1:17" ht="22.5" customHeight="1" x14ac:dyDescent="0.2">
      <c r="A183" s="3">
        <v>46147.694587071761</v>
      </c>
      <c r="B183" s="4" t="s">
        <v>47</v>
      </c>
      <c r="C183" s="4" t="s">
        <v>18</v>
      </c>
      <c r="D183" s="4" t="s">
        <v>19</v>
      </c>
      <c r="E183" s="4" t="s">
        <v>56</v>
      </c>
      <c r="F183" s="4" t="s">
        <v>48</v>
      </c>
      <c r="G183" s="4" t="s">
        <v>51</v>
      </c>
      <c r="H183" s="4" t="s">
        <v>23</v>
      </c>
      <c r="I183" s="4" t="s">
        <v>23</v>
      </c>
      <c r="J183" s="4" t="s">
        <v>23</v>
      </c>
      <c r="K183" s="4" t="s">
        <v>23</v>
      </c>
      <c r="L183" s="4" t="s">
        <v>23</v>
      </c>
      <c r="M183" s="4" t="s">
        <v>23</v>
      </c>
      <c r="N183" s="4" t="s">
        <v>23</v>
      </c>
      <c r="O183" s="4" t="s">
        <v>23</v>
      </c>
      <c r="P183" s="4" t="s">
        <v>362</v>
      </c>
      <c r="Q183" s="4" t="s">
        <v>363</v>
      </c>
    </row>
    <row r="184" spans="1:17" ht="22.5" customHeight="1" x14ac:dyDescent="0.2">
      <c r="A184" s="3">
        <v>46147.696426261573</v>
      </c>
      <c r="B184" s="4" t="s">
        <v>136</v>
      </c>
      <c r="C184" s="4" t="s">
        <v>18</v>
      </c>
      <c r="D184" s="4" t="s">
        <v>27</v>
      </c>
      <c r="E184" s="4" t="s">
        <v>36</v>
      </c>
      <c r="F184" s="4" t="s">
        <v>48</v>
      </c>
      <c r="G184" s="4" t="s">
        <v>51</v>
      </c>
      <c r="H184" s="4" t="s">
        <v>23</v>
      </c>
      <c r="I184" s="4" t="s">
        <v>23</v>
      </c>
      <c r="J184" s="4" t="s">
        <v>22</v>
      </c>
      <c r="K184" s="4" t="s">
        <v>22</v>
      </c>
      <c r="L184" s="4" t="s">
        <v>23</v>
      </c>
      <c r="M184" s="4" t="s">
        <v>22</v>
      </c>
      <c r="N184" s="4" t="s">
        <v>22</v>
      </c>
      <c r="O184" s="4" t="s">
        <v>23</v>
      </c>
      <c r="P184" s="4" t="s">
        <v>364</v>
      </c>
      <c r="Q184" s="4" t="s">
        <v>365</v>
      </c>
    </row>
    <row r="185" spans="1:17" ht="22.5" customHeight="1" x14ac:dyDescent="0.2">
      <c r="A185" s="3">
        <v>46147.697648090281</v>
      </c>
      <c r="B185" s="4" t="s">
        <v>66</v>
      </c>
      <c r="C185" s="4" t="s">
        <v>18</v>
      </c>
      <c r="D185" s="4" t="s">
        <v>111</v>
      </c>
      <c r="E185" s="4" t="s">
        <v>56</v>
      </c>
      <c r="F185" s="4" t="s">
        <v>91</v>
      </c>
      <c r="G185" s="4" t="s">
        <v>30</v>
      </c>
      <c r="H185" s="4" t="s">
        <v>24</v>
      </c>
      <c r="I185" s="4" t="s">
        <v>30</v>
      </c>
      <c r="J185" s="4" t="s">
        <v>31</v>
      </c>
      <c r="K185" s="4" t="s">
        <v>24</v>
      </c>
      <c r="L185" s="4" t="s">
        <v>30</v>
      </c>
      <c r="M185" s="4" t="s">
        <v>30</v>
      </c>
      <c r="N185" s="4" t="s">
        <v>31</v>
      </c>
      <c r="O185" s="4" t="s">
        <v>30</v>
      </c>
      <c r="P185" s="4" t="s">
        <v>366</v>
      </c>
    </row>
    <row r="186" spans="1:17" ht="22.5" customHeight="1" x14ac:dyDescent="0.2">
      <c r="A186" s="3">
        <v>46147.701761608798</v>
      </c>
      <c r="B186" s="4" t="s">
        <v>107</v>
      </c>
      <c r="C186" s="4" t="s">
        <v>44</v>
      </c>
      <c r="D186" s="4" t="s">
        <v>19</v>
      </c>
      <c r="E186" s="4" t="s">
        <v>56</v>
      </c>
      <c r="F186" s="4" t="s">
        <v>21</v>
      </c>
      <c r="G186" s="4" t="s">
        <v>24</v>
      </c>
      <c r="H186" s="4" t="s">
        <v>24</v>
      </c>
      <c r="I186" s="4" t="s">
        <v>24</v>
      </c>
      <c r="J186" s="4" t="s">
        <v>24</v>
      </c>
      <c r="K186" s="4" t="s">
        <v>30</v>
      </c>
      <c r="L186" s="4" t="s">
        <v>24</v>
      </c>
      <c r="M186" s="4" t="s">
        <v>24</v>
      </c>
      <c r="N186" s="4" t="s">
        <v>30</v>
      </c>
      <c r="O186" s="4" t="s">
        <v>30</v>
      </c>
      <c r="P186" s="4" t="s">
        <v>367</v>
      </c>
    </row>
    <row r="187" spans="1:17" ht="22.5" customHeight="1" x14ac:dyDescent="0.2">
      <c r="A187" s="3">
        <v>46147.704799444444</v>
      </c>
      <c r="B187" s="4" t="s">
        <v>125</v>
      </c>
      <c r="C187" s="4" t="s">
        <v>18</v>
      </c>
      <c r="D187" s="4" t="s">
        <v>19</v>
      </c>
      <c r="E187" s="4" t="s">
        <v>56</v>
      </c>
      <c r="F187" s="4" t="s">
        <v>21</v>
      </c>
      <c r="G187" s="4" t="s">
        <v>22</v>
      </c>
      <c r="H187" s="4" t="s">
        <v>22</v>
      </c>
      <c r="I187" s="4" t="s">
        <v>22</v>
      </c>
      <c r="J187" s="4" t="s">
        <v>24</v>
      </c>
      <c r="K187" s="4" t="s">
        <v>24</v>
      </c>
      <c r="L187" s="4" t="s">
        <v>22</v>
      </c>
      <c r="M187" s="4" t="s">
        <v>22</v>
      </c>
      <c r="N187" s="4" t="s">
        <v>22</v>
      </c>
      <c r="O187" s="4" t="s">
        <v>24</v>
      </c>
      <c r="P187" s="4" t="s">
        <v>368</v>
      </c>
      <c r="Q187" s="4" t="s">
        <v>369</v>
      </c>
    </row>
    <row r="188" spans="1:17" ht="22.5" customHeight="1" x14ac:dyDescent="0.2">
      <c r="A188" s="3">
        <v>46147.708803668982</v>
      </c>
      <c r="B188" s="4" t="s">
        <v>107</v>
      </c>
      <c r="C188" s="4" t="s">
        <v>18</v>
      </c>
      <c r="D188" s="4" t="s">
        <v>111</v>
      </c>
      <c r="E188" s="4" t="s">
        <v>56</v>
      </c>
      <c r="F188" s="4" t="s">
        <v>21</v>
      </c>
      <c r="G188" s="4" t="s">
        <v>24</v>
      </c>
      <c r="H188" s="4" t="s">
        <v>24</v>
      </c>
      <c r="I188" s="4" t="s">
        <v>24</v>
      </c>
      <c r="J188" s="4" t="s">
        <v>24</v>
      </c>
      <c r="K188" s="4" t="s">
        <v>24</v>
      </c>
      <c r="L188" s="4" t="s">
        <v>30</v>
      </c>
      <c r="M188" s="4" t="s">
        <v>24</v>
      </c>
      <c r="N188" s="4" t="s">
        <v>22</v>
      </c>
      <c r="O188" s="4" t="s">
        <v>30</v>
      </c>
      <c r="P188" s="4" t="s">
        <v>370</v>
      </c>
      <c r="Q188" s="4" t="s">
        <v>371</v>
      </c>
    </row>
    <row r="189" spans="1:17" ht="22.5" customHeight="1" x14ac:dyDescent="0.2">
      <c r="A189" s="3">
        <v>46147.71078898148</v>
      </c>
      <c r="B189" s="4" t="s">
        <v>107</v>
      </c>
      <c r="C189" s="4" t="s">
        <v>44</v>
      </c>
      <c r="D189" s="4" t="s">
        <v>111</v>
      </c>
      <c r="E189" s="4" t="s">
        <v>56</v>
      </c>
      <c r="F189" s="4" t="s">
        <v>21</v>
      </c>
      <c r="G189" s="4" t="s">
        <v>30</v>
      </c>
      <c r="H189" s="4" t="s">
        <v>30</v>
      </c>
      <c r="I189" s="4" t="s">
        <v>24</v>
      </c>
      <c r="J189" s="4" t="s">
        <v>24</v>
      </c>
      <c r="K189" s="4" t="s">
        <v>24</v>
      </c>
      <c r="L189" s="4" t="s">
        <v>31</v>
      </c>
      <c r="M189" s="4" t="s">
        <v>30</v>
      </c>
      <c r="N189" s="4" t="s">
        <v>24</v>
      </c>
      <c r="O189" s="4" t="s">
        <v>24</v>
      </c>
      <c r="P189" s="4" t="s">
        <v>372</v>
      </c>
    </row>
    <row r="190" spans="1:17" ht="22.5" customHeight="1" x14ac:dyDescent="0.2">
      <c r="A190" s="3">
        <v>46147.711661863425</v>
      </c>
      <c r="B190" s="4" t="s">
        <v>107</v>
      </c>
      <c r="C190" s="4" t="s">
        <v>18</v>
      </c>
      <c r="D190" s="4" t="s">
        <v>19</v>
      </c>
      <c r="E190" s="4" t="s">
        <v>56</v>
      </c>
      <c r="F190" s="4" t="s">
        <v>21</v>
      </c>
      <c r="G190" s="4" t="s">
        <v>24</v>
      </c>
      <c r="H190" s="4" t="s">
        <v>24</v>
      </c>
      <c r="I190" s="4" t="s">
        <v>30</v>
      </c>
      <c r="J190" s="4" t="s">
        <v>24</v>
      </c>
      <c r="K190" s="4" t="s">
        <v>24</v>
      </c>
      <c r="L190" s="4" t="s">
        <v>24</v>
      </c>
      <c r="M190" s="4" t="s">
        <v>30</v>
      </c>
      <c r="N190" s="4" t="s">
        <v>24</v>
      </c>
      <c r="O190" s="4" t="s">
        <v>30</v>
      </c>
      <c r="P190" s="4" t="s">
        <v>373</v>
      </c>
      <c r="Q190" s="4" t="s">
        <v>374</v>
      </c>
    </row>
    <row r="191" spans="1:17" ht="22.5" customHeight="1" x14ac:dyDescent="0.2">
      <c r="A191" s="3">
        <v>46147.721727152777</v>
      </c>
      <c r="B191" s="4" t="s">
        <v>66</v>
      </c>
      <c r="C191" s="4" t="s">
        <v>18</v>
      </c>
      <c r="D191" s="4" t="s">
        <v>19</v>
      </c>
      <c r="E191" s="4" t="s">
        <v>28</v>
      </c>
      <c r="F191" s="4" t="s">
        <v>91</v>
      </c>
      <c r="G191" s="4" t="s">
        <v>30</v>
      </c>
      <c r="H191" s="4" t="s">
        <v>30</v>
      </c>
      <c r="I191" s="4" t="s">
        <v>30</v>
      </c>
      <c r="J191" s="4" t="s">
        <v>31</v>
      </c>
      <c r="K191" s="4" t="s">
        <v>31</v>
      </c>
      <c r="L191" s="4" t="s">
        <v>30</v>
      </c>
      <c r="M191" s="4" t="s">
        <v>30</v>
      </c>
      <c r="N191" s="4" t="s">
        <v>30</v>
      </c>
      <c r="O191" s="4" t="s">
        <v>31</v>
      </c>
      <c r="P191" s="4" t="s">
        <v>375</v>
      </c>
    </row>
    <row r="192" spans="1:17" ht="22.5" customHeight="1" x14ac:dyDescent="0.2">
      <c r="A192" s="3">
        <v>46147.724144444444</v>
      </c>
      <c r="B192" s="4" t="s">
        <v>66</v>
      </c>
      <c r="C192" s="4" t="s">
        <v>44</v>
      </c>
      <c r="D192" s="4" t="s">
        <v>111</v>
      </c>
      <c r="E192" s="4" t="s">
        <v>56</v>
      </c>
      <c r="F192" s="4" t="s">
        <v>91</v>
      </c>
      <c r="G192" s="4" t="s">
        <v>30</v>
      </c>
      <c r="H192" s="4" t="s">
        <v>24</v>
      </c>
      <c r="I192" s="4" t="s">
        <v>24</v>
      </c>
      <c r="J192" s="4" t="s">
        <v>30</v>
      </c>
      <c r="K192" s="4" t="s">
        <v>30</v>
      </c>
      <c r="L192" s="4" t="s">
        <v>24</v>
      </c>
      <c r="M192" s="4" t="s">
        <v>24</v>
      </c>
      <c r="N192" s="4" t="s">
        <v>30</v>
      </c>
      <c r="O192" s="4" t="s">
        <v>30</v>
      </c>
      <c r="P192" s="4" t="s">
        <v>376</v>
      </c>
    </row>
    <row r="193" spans="1:17" ht="22.5" customHeight="1" x14ac:dyDescent="0.2">
      <c r="A193" s="3">
        <v>46147.728542546298</v>
      </c>
      <c r="B193" s="4" t="s">
        <v>107</v>
      </c>
      <c r="C193" s="4" t="s">
        <v>44</v>
      </c>
      <c r="D193" s="4" t="s">
        <v>111</v>
      </c>
      <c r="E193" s="4" t="s">
        <v>36</v>
      </c>
      <c r="F193" s="4" t="s">
        <v>91</v>
      </c>
      <c r="G193" s="4" t="s">
        <v>24</v>
      </c>
      <c r="H193" s="4" t="s">
        <v>30</v>
      </c>
      <c r="I193" s="4" t="s">
        <v>30</v>
      </c>
      <c r="J193" s="4" t="s">
        <v>31</v>
      </c>
      <c r="K193" s="4" t="s">
        <v>31</v>
      </c>
      <c r="L193" s="4" t="s">
        <v>30</v>
      </c>
      <c r="M193" s="4" t="s">
        <v>30</v>
      </c>
      <c r="N193" s="4" t="s">
        <v>24</v>
      </c>
      <c r="O193" s="4" t="s">
        <v>30</v>
      </c>
      <c r="P193" s="4" t="s">
        <v>377</v>
      </c>
    </row>
    <row r="194" spans="1:17" ht="22.5" customHeight="1" x14ac:dyDescent="0.2">
      <c r="A194" s="3">
        <v>46147.732220706021</v>
      </c>
      <c r="B194" s="4" t="s">
        <v>107</v>
      </c>
      <c r="C194" s="4" t="s">
        <v>18</v>
      </c>
      <c r="D194" s="4" t="s">
        <v>111</v>
      </c>
      <c r="E194" s="4" t="s">
        <v>56</v>
      </c>
      <c r="F194" s="4" t="s">
        <v>21</v>
      </c>
      <c r="G194" s="4" t="s">
        <v>30</v>
      </c>
      <c r="H194" s="4" t="s">
        <v>30</v>
      </c>
      <c r="I194" s="4" t="s">
        <v>30</v>
      </c>
      <c r="J194" s="4" t="s">
        <v>30</v>
      </c>
      <c r="K194" s="4" t="s">
        <v>30</v>
      </c>
      <c r="L194" s="4" t="s">
        <v>30</v>
      </c>
      <c r="M194" s="4" t="s">
        <v>30</v>
      </c>
      <c r="N194" s="4" t="s">
        <v>30</v>
      </c>
      <c r="O194" s="4" t="s">
        <v>30</v>
      </c>
      <c r="P194" s="4" t="s">
        <v>378</v>
      </c>
    </row>
    <row r="195" spans="1:17" ht="22.5" customHeight="1" x14ac:dyDescent="0.2">
      <c r="A195" s="3">
        <v>46147.736373449079</v>
      </c>
      <c r="B195" s="4" t="s">
        <v>104</v>
      </c>
      <c r="C195" s="4" t="s">
        <v>44</v>
      </c>
      <c r="D195" s="4" t="s">
        <v>19</v>
      </c>
      <c r="E195" s="4" t="s">
        <v>28</v>
      </c>
      <c r="F195" s="4" t="s">
        <v>91</v>
      </c>
      <c r="G195" s="4" t="s">
        <v>22</v>
      </c>
      <c r="H195" s="4" t="s">
        <v>24</v>
      </c>
      <c r="I195" s="4" t="s">
        <v>22</v>
      </c>
      <c r="J195" s="4" t="s">
        <v>22</v>
      </c>
      <c r="K195" s="4" t="s">
        <v>24</v>
      </c>
      <c r="L195" s="4" t="s">
        <v>24</v>
      </c>
      <c r="M195" s="4" t="s">
        <v>24</v>
      </c>
      <c r="N195" s="4" t="s">
        <v>24</v>
      </c>
      <c r="O195" s="4" t="s">
        <v>22</v>
      </c>
      <c r="P195" s="4" t="s">
        <v>379</v>
      </c>
    </row>
    <row r="196" spans="1:17" ht="22.5" customHeight="1" x14ac:dyDescent="0.2">
      <c r="A196" s="3">
        <v>46147.73732349537</v>
      </c>
      <c r="B196" s="4" t="s">
        <v>66</v>
      </c>
      <c r="C196" s="4" t="s">
        <v>44</v>
      </c>
      <c r="D196" s="4" t="s">
        <v>111</v>
      </c>
      <c r="E196" s="4" t="s">
        <v>28</v>
      </c>
      <c r="F196" s="4" t="s">
        <v>21</v>
      </c>
      <c r="G196" s="4" t="s">
        <v>30</v>
      </c>
      <c r="H196" s="4" t="s">
        <v>31</v>
      </c>
      <c r="I196" s="4" t="s">
        <v>31</v>
      </c>
      <c r="J196" s="4" t="s">
        <v>24</v>
      </c>
      <c r="K196" s="4" t="s">
        <v>30</v>
      </c>
      <c r="L196" s="4" t="s">
        <v>30</v>
      </c>
      <c r="M196" s="4" t="s">
        <v>31</v>
      </c>
      <c r="N196" s="4" t="s">
        <v>30</v>
      </c>
      <c r="O196" s="4" t="s">
        <v>24</v>
      </c>
      <c r="P196" s="4" t="s">
        <v>380</v>
      </c>
    </row>
    <row r="197" spans="1:17" ht="22.5" customHeight="1" x14ac:dyDescent="0.2">
      <c r="A197" s="3">
        <v>46147.740040335644</v>
      </c>
      <c r="B197" s="4" t="s">
        <v>107</v>
      </c>
      <c r="C197" s="4" t="s">
        <v>18</v>
      </c>
      <c r="D197" s="4" t="s">
        <v>111</v>
      </c>
      <c r="E197" s="4" t="s">
        <v>28</v>
      </c>
      <c r="F197" s="4" t="s">
        <v>91</v>
      </c>
      <c r="G197" s="4" t="s">
        <v>30</v>
      </c>
      <c r="H197" s="4" t="s">
        <v>30</v>
      </c>
      <c r="I197" s="4" t="s">
        <v>24</v>
      </c>
      <c r="J197" s="4" t="s">
        <v>30</v>
      </c>
      <c r="K197" s="4" t="s">
        <v>24</v>
      </c>
      <c r="L197" s="4" t="s">
        <v>24</v>
      </c>
      <c r="M197" s="4" t="s">
        <v>24</v>
      </c>
      <c r="N197" s="4" t="s">
        <v>30</v>
      </c>
      <c r="O197" s="4" t="s">
        <v>24</v>
      </c>
      <c r="P197" s="4" t="s">
        <v>381</v>
      </c>
    </row>
    <row r="198" spans="1:17" ht="22.5" customHeight="1" x14ac:dyDescent="0.2">
      <c r="A198" s="3">
        <v>46147.741606956013</v>
      </c>
      <c r="B198" s="4" t="s">
        <v>66</v>
      </c>
      <c r="C198" s="4" t="s">
        <v>44</v>
      </c>
      <c r="D198" s="4" t="s">
        <v>111</v>
      </c>
      <c r="E198" s="4" t="s">
        <v>28</v>
      </c>
      <c r="F198" s="4" t="s">
        <v>91</v>
      </c>
      <c r="G198" s="4" t="s">
        <v>24</v>
      </c>
      <c r="H198" s="4" t="s">
        <v>30</v>
      </c>
      <c r="I198" s="4" t="s">
        <v>30</v>
      </c>
      <c r="J198" s="4" t="s">
        <v>30</v>
      </c>
      <c r="K198" s="4" t="s">
        <v>30</v>
      </c>
      <c r="L198" s="4" t="s">
        <v>24</v>
      </c>
      <c r="M198" s="4" t="s">
        <v>30</v>
      </c>
      <c r="N198" s="4" t="s">
        <v>31</v>
      </c>
      <c r="O198" s="4" t="s">
        <v>30</v>
      </c>
      <c r="P198" s="4" t="s">
        <v>382</v>
      </c>
    </row>
    <row r="199" spans="1:17" ht="22.5" customHeight="1" x14ac:dyDescent="0.2">
      <c r="A199" s="3">
        <v>46147.742581203704</v>
      </c>
      <c r="B199" s="4" t="s">
        <v>148</v>
      </c>
      <c r="C199" s="4" t="s">
        <v>18</v>
      </c>
      <c r="D199" s="4" t="s">
        <v>111</v>
      </c>
      <c r="E199" s="4" t="s">
        <v>28</v>
      </c>
      <c r="F199" s="4" t="s">
        <v>91</v>
      </c>
      <c r="G199" s="4" t="s">
        <v>30</v>
      </c>
      <c r="H199" s="4" t="s">
        <v>31</v>
      </c>
      <c r="I199" s="4" t="s">
        <v>31</v>
      </c>
      <c r="J199" s="4" t="s">
        <v>30</v>
      </c>
      <c r="K199" s="4" t="s">
        <v>30</v>
      </c>
      <c r="L199" s="4" t="s">
        <v>30</v>
      </c>
      <c r="M199" s="4" t="s">
        <v>30</v>
      </c>
      <c r="N199" s="4" t="s">
        <v>31</v>
      </c>
      <c r="O199" s="4" t="s">
        <v>30</v>
      </c>
      <c r="P199" s="4" t="s">
        <v>383</v>
      </c>
    </row>
    <row r="200" spans="1:17" ht="22.5" customHeight="1" x14ac:dyDescent="0.2">
      <c r="A200" s="3">
        <v>46147.746729432867</v>
      </c>
      <c r="B200" s="4" t="s">
        <v>107</v>
      </c>
      <c r="C200" s="4" t="s">
        <v>18</v>
      </c>
      <c r="D200" s="4" t="s">
        <v>111</v>
      </c>
      <c r="E200" s="4" t="s">
        <v>28</v>
      </c>
      <c r="F200" s="4" t="s">
        <v>21</v>
      </c>
      <c r="G200" s="4" t="s">
        <v>24</v>
      </c>
      <c r="H200" s="4" t="s">
        <v>30</v>
      </c>
      <c r="I200" s="4" t="s">
        <v>30</v>
      </c>
      <c r="J200" s="4" t="s">
        <v>24</v>
      </c>
      <c r="K200" s="4" t="s">
        <v>24</v>
      </c>
      <c r="L200" s="4" t="s">
        <v>24</v>
      </c>
      <c r="M200" s="4" t="s">
        <v>30</v>
      </c>
      <c r="N200" s="4" t="s">
        <v>24</v>
      </c>
      <c r="O200" s="4" t="s">
        <v>30</v>
      </c>
      <c r="P200" s="4" t="s">
        <v>384</v>
      </c>
    </row>
    <row r="201" spans="1:17" ht="22.5" customHeight="1" x14ac:dyDescent="0.2">
      <c r="A201" s="3">
        <v>46147.749903923614</v>
      </c>
      <c r="B201" s="4" t="s">
        <v>136</v>
      </c>
      <c r="C201" s="4" t="s">
        <v>44</v>
      </c>
      <c r="D201" s="4" t="s">
        <v>19</v>
      </c>
      <c r="E201" s="4" t="s">
        <v>56</v>
      </c>
      <c r="F201" s="4" t="s">
        <v>48</v>
      </c>
      <c r="G201" s="4" t="s">
        <v>22</v>
      </c>
      <c r="H201" s="4" t="s">
        <v>23</v>
      </c>
      <c r="I201" s="4" t="s">
        <v>22</v>
      </c>
      <c r="J201" s="4" t="s">
        <v>22</v>
      </c>
      <c r="K201" s="4" t="s">
        <v>22</v>
      </c>
      <c r="L201" s="4" t="s">
        <v>23</v>
      </c>
      <c r="M201" s="4" t="s">
        <v>22</v>
      </c>
      <c r="N201" s="4" t="s">
        <v>23</v>
      </c>
      <c r="O201" s="4" t="s">
        <v>23</v>
      </c>
      <c r="P201" s="4" t="s">
        <v>385</v>
      </c>
      <c r="Q201" s="4" t="s">
        <v>386</v>
      </c>
    </row>
    <row r="202" spans="1:17" ht="22.5" customHeight="1" x14ac:dyDescent="0.2">
      <c r="A202" s="3">
        <v>46147.756878310189</v>
      </c>
      <c r="B202" s="4" t="s">
        <v>66</v>
      </c>
      <c r="C202" s="4" t="s">
        <v>18</v>
      </c>
      <c r="D202" s="4" t="s">
        <v>111</v>
      </c>
      <c r="E202" s="4" t="s">
        <v>20</v>
      </c>
      <c r="F202" s="4" t="s">
        <v>21</v>
      </c>
      <c r="G202" s="4" t="s">
        <v>30</v>
      </c>
      <c r="H202" s="4" t="s">
        <v>30</v>
      </c>
      <c r="I202" s="4" t="s">
        <v>31</v>
      </c>
      <c r="J202" s="4" t="s">
        <v>30</v>
      </c>
      <c r="K202" s="4" t="s">
        <v>30</v>
      </c>
      <c r="L202" s="4" t="s">
        <v>30</v>
      </c>
      <c r="M202" s="4" t="s">
        <v>24</v>
      </c>
      <c r="N202" s="4" t="s">
        <v>30</v>
      </c>
      <c r="O202" s="4" t="s">
        <v>30</v>
      </c>
      <c r="P202" s="4" t="s">
        <v>387</v>
      </c>
    </row>
    <row r="203" spans="1:17" ht="22.5" customHeight="1" x14ac:dyDescent="0.2">
      <c r="A203" s="3">
        <v>46147.75805866898</v>
      </c>
      <c r="B203" s="4" t="s">
        <v>66</v>
      </c>
      <c r="C203" s="4" t="s">
        <v>44</v>
      </c>
      <c r="D203" s="4" t="s">
        <v>111</v>
      </c>
      <c r="E203" s="4" t="s">
        <v>28</v>
      </c>
      <c r="F203" s="4" t="s">
        <v>91</v>
      </c>
      <c r="G203" s="4" t="s">
        <v>30</v>
      </c>
      <c r="H203" s="4" t="s">
        <v>30</v>
      </c>
      <c r="I203" s="4" t="s">
        <v>30</v>
      </c>
      <c r="J203" s="4" t="s">
        <v>24</v>
      </c>
      <c r="K203" s="4" t="s">
        <v>24</v>
      </c>
      <c r="L203" s="4" t="s">
        <v>31</v>
      </c>
      <c r="M203" s="4" t="s">
        <v>30</v>
      </c>
      <c r="N203" s="4" t="s">
        <v>30</v>
      </c>
      <c r="O203" s="4" t="s">
        <v>24</v>
      </c>
      <c r="P203" s="4" t="s">
        <v>388</v>
      </c>
    </row>
    <row r="204" spans="1:17" ht="22.5" customHeight="1" x14ac:dyDescent="0.2">
      <c r="A204" s="3">
        <v>46147.7611196875</v>
      </c>
      <c r="B204" s="4" t="s">
        <v>107</v>
      </c>
      <c r="C204" s="4" t="s">
        <v>18</v>
      </c>
      <c r="D204" s="4" t="s">
        <v>19</v>
      </c>
      <c r="E204" s="4" t="s">
        <v>28</v>
      </c>
      <c r="F204" s="4" t="s">
        <v>21</v>
      </c>
      <c r="G204" s="4" t="s">
        <v>30</v>
      </c>
      <c r="H204" s="4" t="s">
        <v>30</v>
      </c>
      <c r="I204" s="4" t="s">
        <v>24</v>
      </c>
      <c r="J204" s="4" t="s">
        <v>30</v>
      </c>
      <c r="K204" s="4" t="s">
        <v>30</v>
      </c>
      <c r="L204" s="4" t="s">
        <v>31</v>
      </c>
      <c r="M204" s="4" t="s">
        <v>31</v>
      </c>
      <c r="N204" s="4" t="s">
        <v>30</v>
      </c>
      <c r="O204" s="4" t="s">
        <v>30</v>
      </c>
      <c r="P204" s="4" t="s">
        <v>389</v>
      </c>
    </row>
    <row r="205" spans="1:17" ht="22.5" customHeight="1" x14ac:dyDescent="0.2">
      <c r="A205" s="3">
        <v>46147.761852384254</v>
      </c>
      <c r="B205" s="4" t="s">
        <v>104</v>
      </c>
      <c r="C205" s="4" t="s">
        <v>44</v>
      </c>
      <c r="D205" s="4" t="s">
        <v>19</v>
      </c>
      <c r="E205" s="4" t="s">
        <v>56</v>
      </c>
      <c r="F205" s="4" t="s">
        <v>48</v>
      </c>
      <c r="G205" s="4" t="s">
        <v>22</v>
      </c>
      <c r="H205" s="4" t="s">
        <v>22</v>
      </c>
      <c r="I205" s="4" t="s">
        <v>24</v>
      </c>
      <c r="J205" s="4" t="s">
        <v>22</v>
      </c>
      <c r="K205" s="4" t="s">
        <v>22</v>
      </c>
      <c r="L205" s="4" t="s">
        <v>23</v>
      </c>
      <c r="M205" s="4" t="s">
        <v>22</v>
      </c>
      <c r="N205" s="4" t="s">
        <v>22</v>
      </c>
      <c r="O205" s="4" t="s">
        <v>22</v>
      </c>
      <c r="P205" s="4" t="s">
        <v>390</v>
      </c>
      <c r="Q205" s="4" t="s">
        <v>391</v>
      </c>
    </row>
    <row r="206" spans="1:17" ht="22.5" customHeight="1" x14ac:dyDescent="0.2">
      <c r="A206" s="3">
        <v>46147.762408113427</v>
      </c>
      <c r="B206" s="4" t="s">
        <v>148</v>
      </c>
      <c r="C206" s="4" t="s">
        <v>44</v>
      </c>
      <c r="D206" s="4" t="s">
        <v>111</v>
      </c>
      <c r="E206" s="4" t="s">
        <v>20</v>
      </c>
      <c r="F206" s="4" t="s">
        <v>91</v>
      </c>
      <c r="G206" s="4" t="s">
        <v>31</v>
      </c>
      <c r="H206" s="4" t="s">
        <v>30</v>
      </c>
      <c r="I206" s="4" t="s">
        <v>30</v>
      </c>
      <c r="J206" s="4" t="s">
        <v>30</v>
      </c>
      <c r="K206" s="4" t="s">
        <v>31</v>
      </c>
      <c r="L206" s="4" t="s">
        <v>30</v>
      </c>
      <c r="M206" s="4" t="s">
        <v>30</v>
      </c>
      <c r="N206" s="4" t="s">
        <v>31</v>
      </c>
      <c r="O206" s="4" t="s">
        <v>30</v>
      </c>
      <c r="P206" s="4" t="s">
        <v>392</v>
      </c>
    </row>
    <row r="207" spans="1:17" ht="22.5" customHeight="1" x14ac:dyDescent="0.2">
      <c r="A207" s="3">
        <v>46147.766577465278</v>
      </c>
      <c r="B207" s="4" t="s">
        <v>125</v>
      </c>
      <c r="C207" s="4" t="s">
        <v>18</v>
      </c>
      <c r="D207" s="4" t="s">
        <v>19</v>
      </c>
      <c r="E207" s="4" t="s">
        <v>28</v>
      </c>
      <c r="F207" s="4" t="s">
        <v>21</v>
      </c>
      <c r="G207" s="4" t="s">
        <v>24</v>
      </c>
      <c r="H207" s="4" t="s">
        <v>30</v>
      </c>
      <c r="I207" s="4" t="s">
        <v>24</v>
      </c>
      <c r="J207" s="4" t="s">
        <v>24</v>
      </c>
      <c r="K207" s="4" t="s">
        <v>24</v>
      </c>
      <c r="L207" s="4" t="s">
        <v>24</v>
      </c>
      <c r="M207" s="4" t="s">
        <v>22</v>
      </c>
      <c r="N207" s="4" t="s">
        <v>24</v>
      </c>
      <c r="O207" s="4" t="s">
        <v>24</v>
      </c>
      <c r="P207" s="4" t="s">
        <v>393</v>
      </c>
    </row>
    <row r="208" spans="1:17" ht="22.5" customHeight="1" x14ac:dyDescent="0.2">
      <c r="A208" s="3">
        <v>46147.770369004633</v>
      </c>
      <c r="B208" s="4" t="s">
        <v>66</v>
      </c>
      <c r="C208" s="4" t="s">
        <v>18</v>
      </c>
      <c r="D208" s="4" t="s">
        <v>111</v>
      </c>
      <c r="E208" s="4" t="s">
        <v>28</v>
      </c>
      <c r="F208" s="4" t="s">
        <v>91</v>
      </c>
      <c r="G208" s="4" t="s">
        <v>30</v>
      </c>
      <c r="H208" s="4" t="s">
        <v>24</v>
      </c>
      <c r="I208" s="4" t="s">
        <v>30</v>
      </c>
      <c r="J208" s="4" t="s">
        <v>30</v>
      </c>
      <c r="K208" s="4" t="s">
        <v>24</v>
      </c>
      <c r="L208" s="4" t="s">
        <v>30</v>
      </c>
      <c r="M208" s="4" t="s">
        <v>30</v>
      </c>
      <c r="N208" s="4" t="s">
        <v>30</v>
      </c>
      <c r="O208" s="4" t="s">
        <v>24</v>
      </c>
      <c r="P208" s="4" t="s">
        <v>394</v>
      </c>
    </row>
    <row r="209" spans="1:17" ht="22.5" customHeight="1" x14ac:dyDescent="0.2">
      <c r="A209" s="3">
        <v>46147.771631736112</v>
      </c>
      <c r="B209" s="4" t="s">
        <v>107</v>
      </c>
      <c r="C209" s="4" t="s">
        <v>44</v>
      </c>
      <c r="D209" s="4" t="s">
        <v>111</v>
      </c>
      <c r="E209" s="4" t="s">
        <v>56</v>
      </c>
      <c r="F209" s="4" t="s">
        <v>21</v>
      </c>
      <c r="G209" s="4" t="s">
        <v>24</v>
      </c>
      <c r="H209" s="4" t="s">
        <v>22</v>
      </c>
      <c r="I209" s="4" t="s">
        <v>24</v>
      </c>
      <c r="J209" s="4" t="s">
        <v>24</v>
      </c>
      <c r="K209" s="4" t="s">
        <v>22</v>
      </c>
      <c r="L209" s="4" t="s">
        <v>24</v>
      </c>
      <c r="M209" s="4" t="s">
        <v>24</v>
      </c>
      <c r="N209" s="4" t="s">
        <v>24</v>
      </c>
      <c r="O209" s="4" t="s">
        <v>22</v>
      </c>
      <c r="P209" s="4" t="s">
        <v>395</v>
      </c>
    </row>
    <row r="210" spans="1:17" ht="22.5" customHeight="1" x14ac:dyDescent="0.2">
      <c r="A210" s="3">
        <v>46147.772930474537</v>
      </c>
      <c r="B210" s="4" t="s">
        <v>125</v>
      </c>
      <c r="C210" s="4" t="s">
        <v>18</v>
      </c>
      <c r="D210" s="4" t="s">
        <v>19</v>
      </c>
      <c r="E210" s="4" t="s">
        <v>56</v>
      </c>
      <c r="F210" s="4" t="s">
        <v>48</v>
      </c>
      <c r="G210" s="4" t="s">
        <v>22</v>
      </c>
      <c r="H210" s="4" t="s">
        <v>22</v>
      </c>
      <c r="I210" s="4" t="s">
        <v>22</v>
      </c>
      <c r="J210" s="4" t="s">
        <v>24</v>
      </c>
      <c r="K210" s="4" t="s">
        <v>22</v>
      </c>
      <c r="L210" s="4" t="s">
        <v>22</v>
      </c>
      <c r="M210" s="4" t="s">
        <v>24</v>
      </c>
      <c r="N210" s="4" t="s">
        <v>24</v>
      </c>
      <c r="O210" s="4" t="s">
        <v>22</v>
      </c>
      <c r="P210" s="4" t="s">
        <v>396</v>
      </c>
      <c r="Q210" s="4" t="s">
        <v>397</v>
      </c>
    </row>
    <row r="211" spans="1:17" ht="22.5" customHeight="1" x14ac:dyDescent="0.2">
      <c r="A211" s="3">
        <v>46147.774464328701</v>
      </c>
      <c r="B211" s="4" t="s">
        <v>104</v>
      </c>
      <c r="C211" s="4" t="s">
        <v>44</v>
      </c>
      <c r="D211" s="4" t="s">
        <v>19</v>
      </c>
      <c r="E211" s="4" t="s">
        <v>56</v>
      </c>
      <c r="F211" s="4" t="s">
        <v>21</v>
      </c>
      <c r="G211" s="4" t="s">
        <v>22</v>
      </c>
      <c r="H211" s="4" t="s">
        <v>23</v>
      </c>
      <c r="I211" s="4" t="s">
        <v>22</v>
      </c>
      <c r="J211" s="4" t="s">
        <v>22</v>
      </c>
      <c r="K211" s="4" t="s">
        <v>23</v>
      </c>
      <c r="L211" s="4" t="s">
        <v>22</v>
      </c>
      <c r="M211" s="4" t="s">
        <v>22</v>
      </c>
      <c r="N211" s="4" t="s">
        <v>23</v>
      </c>
      <c r="O211" s="4" t="s">
        <v>23</v>
      </c>
      <c r="P211" s="4" t="s">
        <v>398</v>
      </c>
    </row>
    <row r="212" spans="1:17" ht="22.5" customHeight="1" x14ac:dyDescent="0.2">
      <c r="A212" s="3">
        <v>46147.775512928245</v>
      </c>
      <c r="B212" s="4" t="s">
        <v>104</v>
      </c>
      <c r="C212" s="4" t="s">
        <v>44</v>
      </c>
      <c r="D212" s="4" t="s">
        <v>19</v>
      </c>
      <c r="E212" s="4" t="s">
        <v>36</v>
      </c>
      <c r="F212" s="4" t="s">
        <v>48</v>
      </c>
      <c r="G212" s="4" t="s">
        <v>51</v>
      </c>
      <c r="H212" s="4" t="s">
        <v>23</v>
      </c>
      <c r="I212" s="4" t="s">
        <v>23</v>
      </c>
      <c r="J212" s="4" t="s">
        <v>22</v>
      </c>
      <c r="K212" s="4" t="s">
        <v>23</v>
      </c>
      <c r="L212" s="4" t="s">
        <v>23</v>
      </c>
      <c r="M212" s="4" t="s">
        <v>22</v>
      </c>
      <c r="N212" s="4" t="s">
        <v>22</v>
      </c>
      <c r="O212" s="4" t="s">
        <v>23</v>
      </c>
      <c r="P212" s="4" t="s">
        <v>399</v>
      </c>
      <c r="Q212" s="4" t="s">
        <v>400</v>
      </c>
    </row>
    <row r="213" spans="1:17" ht="22.5" customHeight="1" x14ac:dyDescent="0.2">
      <c r="A213" s="3">
        <v>46147.776609583336</v>
      </c>
      <c r="B213" s="4" t="s">
        <v>17</v>
      </c>
      <c r="C213" s="4" t="s">
        <v>18</v>
      </c>
      <c r="D213" s="4" t="s">
        <v>19</v>
      </c>
      <c r="E213" s="4" t="s">
        <v>36</v>
      </c>
      <c r="F213" s="4" t="s">
        <v>21</v>
      </c>
      <c r="G213" s="4" t="s">
        <v>51</v>
      </c>
      <c r="H213" s="4" t="s">
        <v>23</v>
      </c>
      <c r="I213" s="4" t="s">
        <v>23</v>
      </c>
      <c r="J213" s="4" t="s">
        <v>23</v>
      </c>
      <c r="K213" s="4" t="s">
        <v>23</v>
      </c>
      <c r="L213" s="4" t="s">
        <v>23</v>
      </c>
      <c r="M213" s="4" t="s">
        <v>23</v>
      </c>
      <c r="N213" s="4" t="s">
        <v>23</v>
      </c>
      <c r="O213" s="4" t="s">
        <v>23</v>
      </c>
      <c r="P213" s="4" t="s">
        <v>401</v>
      </c>
    </row>
    <row r="214" spans="1:17" ht="22.5" customHeight="1" x14ac:dyDescent="0.2">
      <c r="A214" s="3">
        <v>46147.777653344907</v>
      </c>
      <c r="B214" s="4" t="s">
        <v>17</v>
      </c>
      <c r="C214" s="4" t="s">
        <v>18</v>
      </c>
      <c r="D214" s="4" t="s">
        <v>19</v>
      </c>
      <c r="E214" s="4" t="s">
        <v>267</v>
      </c>
      <c r="F214" s="4" t="s">
        <v>21</v>
      </c>
      <c r="G214" s="4" t="s">
        <v>51</v>
      </c>
      <c r="H214" s="4" t="s">
        <v>23</v>
      </c>
      <c r="I214" s="4" t="s">
        <v>23</v>
      </c>
      <c r="J214" s="4" t="s">
        <v>23</v>
      </c>
      <c r="K214" s="4" t="s">
        <v>22</v>
      </c>
      <c r="L214" s="4" t="s">
        <v>23</v>
      </c>
      <c r="M214" s="4" t="s">
        <v>23</v>
      </c>
      <c r="N214" s="4" t="s">
        <v>23</v>
      </c>
      <c r="O214" s="4" t="s">
        <v>23</v>
      </c>
      <c r="P214" s="4" t="s">
        <v>402</v>
      </c>
      <c r="Q214" s="4" t="s">
        <v>403</v>
      </c>
    </row>
    <row r="215" spans="1:17" ht="22.5" customHeight="1" x14ac:dyDescent="0.2">
      <c r="A215" s="3">
        <v>46147.778521817134</v>
      </c>
      <c r="B215" s="4" t="s">
        <v>148</v>
      </c>
      <c r="C215" s="4" t="s">
        <v>18</v>
      </c>
      <c r="D215" s="4" t="s">
        <v>111</v>
      </c>
      <c r="E215" s="4" t="s">
        <v>56</v>
      </c>
      <c r="F215" s="4" t="s">
        <v>21</v>
      </c>
      <c r="G215" s="4" t="s">
        <v>51</v>
      </c>
      <c r="H215" s="4" t="s">
        <v>23</v>
      </c>
      <c r="I215" s="4" t="s">
        <v>23</v>
      </c>
      <c r="J215" s="4" t="s">
        <v>23</v>
      </c>
      <c r="K215" s="4" t="s">
        <v>23</v>
      </c>
      <c r="L215" s="4" t="s">
        <v>23</v>
      </c>
      <c r="M215" s="4" t="s">
        <v>23</v>
      </c>
      <c r="N215" s="4" t="s">
        <v>23</v>
      </c>
      <c r="O215" s="4" t="s">
        <v>23</v>
      </c>
      <c r="P215" s="4" t="s">
        <v>404</v>
      </c>
    </row>
    <row r="216" spans="1:17" ht="22.5" customHeight="1" x14ac:dyDescent="0.2">
      <c r="A216" s="3">
        <v>46147.78282734954</v>
      </c>
      <c r="B216" s="4" t="s">
        <v>66</v>
      </c>
      <c r="C216" s="4" t="s">
        <v>44</v>
      </c>
      <c r="D216" s="4" t="s">
        <v>111</v>
      </c>
      <c r="E216" s="4" t="s">
        <v>28</v>
      </c>
      <c r="F216" s="4" t="s">
        <v>91</v>
      </c>
      <c r="G216" s="4" t="s">
        <v>30</v>
      </c>
      <c r="H216" s="4" t="s">
        <v>30</v>
      </c>
      <c r="I216" s="4" t="s">
        <v>24</v>
      </c>
      <c r="J216" s="4" t="s">
        <v>30</v>
      </c>
      <c r="K216" s="4" t="s">
        <v>30</v>
      </c>
      <c r="L216" s="4" t="s">
        <v>30</v>
      </c>
      <c r="M216" s="4" t="s">
        <v>24</v>
      </c>
      <c r="N216" s="4" t="s">
        <v>30</v>
      </c>
      <c r="O216" s="4" t="s">
        <v>24</v>
      </c>
      <c r="P216" s="4" t="s">
        <v>405</v>
      </c>
    </row>
    <row r="217" spans="1:17" ht="22.5" customHeight="1" x14ac:dyDescent="0.2">
      <c r="A217" s="3">
        <v>46147.783565324076</v>
      </c>
      <c r="B217" s="4" t="s">
        <v>104</v>
      </c>
      <c r="C217" s="4" t="s">
        <v>18</v>
      </c>
      <c r="D217" s="4" t="s">
        <v>19</v>
      </c>
      <c r="E217" s="4" t="s">
        <v>28</v>
      </c>
      <c r="F217" s="4" t="s">
        <v>21</v>
      </c>
      <c r="G217" s="4" t="s">
        <v>30</v>
      </c>
      <c r="H217" s="4" t="s">
        <v>24</v>
      </c>
      <c r="I217" s="4" t="s">
        <v>24</v>
      </c>
      <c r="J217" s="4" t="s">
        <v>30</v>
      </c>
      <c r="K217" s="4" t="s">
        <v>30</v>
      </c>
      <c r="L217" s="4" t="s">
        <v>30</v>
      </c>
      <c r="M217" s="4" t="s">
        <v>30</v>
      </c>
      <c r="N217" s="4" t="s">
        <v>24</v>
      </c>
      <c r="O217" s="4" t="s">
        <v>30</v>
      </c>
      <c r="P217" s="4" t="s">
        <v>406</v>
      </c>
    </row>
    <row r="218" spans="1:17" ht="22.5" customHeight="1" x14ac:dyDescent="0.2">
      <c r="A218" s="3">
        <v>46147.784566886578</v>
      </c>
      <c r="B218" s="4" t="s">
        <v>136</v>
      </c>
      <c r="C218" s="4" t="s">
        <v>44</v>
      </c>
      <c r="D218" s="4" t="s">
        <v>19</v>
      </c>
      <c r="E218" s="4" t="s">
        <v>36</v>
      </c>
      <c r="F218" s="4" t="s">
        <v>21</v>
      </c>
      <c r="G218" s="4" t="s">
        <v>22</v>
      </c>
      <c r="H218" s="4" t="s">
        <v>23</v>
      </c>
      <c r="I218" s="4" t="s">
        <v>22</v>
      </c>
      <c r="J218" s="4" t="s">
        <v>22</v>
      </c>
      <c r="K218" s="4" t="s">
        <v>23</v>
      </c>
      <c r="L218" s="4" t="s">
        <v>22</v>
      </c>
      <c r="M218" s="4" t="s">
        <v>22</v>
      </c>
      <c r="N218" s="4" t="s">
        <v>23</v>
      </c>
      <c r="O218" s="4" t="s">
        <v>23</v>
      </c>
      <c r="P218" s="4" t="s">
        <v>407</v>
      </c>
      <c r="Q218" s="4" t="s">
        <v>408</v>
      </c>
    </row>
    <row r="219" spans="1:17" ht="22.5" customHeight="1" x14ac:dyDescent="0.2">
      <c r="A219" s="3">
        <v>46147.785524548613</v>
      </c>
      <c r="B219" s="4" t="s">
        <v>17</v>
      </c>
      <c r="C219" s="4" t="s">
        <v>18</v>
      </c>
      <c r="D219" s="4" t="s">
        <v>19</v>
      </c>
      <c r="E219" s="4" t="s">
        <v>267</v>
      </c>
      <c r="F219" s="4" t="s">
        <v>21</v>
      </c>
      <c r="G219" s="4" t="s">
        <v>51</v>
      </c>
      <c r="H219" s="4" t="s">
        <v>22</v>
      </c>
      <c r="I219" s="4" t="s">
        <v>22</v>
      </c>
      <c r="J219" s="4" t="s">
        <v>23</v>
      </c>
      <c r="K219" s="4" t="s">
        <v>22</v>
      </c>
      <c r="L219" s="4" t="s">
        <v>22</v>
      </c>
      <c r="M219" s="4" t="s">
        <v>23</v>
      </c>
      <c r="N219" s="4" t="s">
        <v>23</v>
      </c>
      <c r="O219" s="4" t="s">
        <v>23</v>
      </c>
      <c r="P219" s="4" t="s">
        <v>409</v>
      </c>
      <c r="Q219" s="4" t="s">
        <v>410</v>
      </c>
    </row>
    <row r="220" spans="1:17" ht="22.5" customHeight="1" x14ac:dyDescent="0.2">
      <c r="A220" s="3">
        <v>46147.786242557871</v>
      </c>
      <c r="B220" s="4" t="s">
        <v>295</v>
      </c>
      <c r="C220" s="4" t="s">
        <v>18</v>
      </c>
      <c r="D220" s="4" t="s">
        <v>111</v>
      </c>
      <c r="E220" s="4" t="s">
        <v>20</v>
      </c>
      <c r="F220" s="4" t="s">
        <v>91</v>
      </c>
      <c r="G220" s="4" t="s">
        <v>31</v>
      </c>
      <c r="H220" s="4" t="s">
        <v>30</v>
      </c>
      <c r="I220" s="4" t="s">
        <v>31</v>
      </c>
      <c r="J220" s="4" t="s">
        <v>30</v>
      </c>
      <c r="K220" s="4" t="s">
        <v>31</v>
      </c>
      <c r="L220" s="4" t="s">
        <v>30</v>
      </c>
      <c r="M220" s="4" t="s">
        <v>30</v>
      </c>
      <c r="N220" s="4" t="s">
        <v>31</v>
      </c>
      <c r="O220" s="4" t="s">
        <v>31</v>
      </c>
      <c r="P220" s="4" t="s">
        <v>411</v>
      </c>
    </row>
    <row r="221" spans="1:17" ht="22.5" customHeight="1" x14ac:dyDescent="0.2">
      <c r="A221" s="3">
        <v>46147.789994583334</v>
      </c>
      <c r="B221" s="4" t="s">
        <v>148</v>
      </c>
      <c r="C221" s="4" t="s">
        <v>44</v>
      </c>
      <c r="D221" s="4" t="s">
        <v>111</v>
      </c>
      <c r="E221" s="4" t="s">
        <v>20</v>
      </c>
      <c r="F221" s="4" t="s">
        <v>91</v>
      </c>
      <c r="G221" s="4" t="s">
        <v>31</v>
      </c>
      <c r="H221" s="4" t="s">
        <v>30</v>
      </c>
      <c r="I221" s="4" t="s">
        <v>31</v>
      </c>
      <c r="J221" s="4" t="s">
        <v>31</v>
      </c>
      <c r="K221" s="4" t="s">
        <v>31</v>
      </c>
      <c r="L221" s="4" t="s">
        <v>31</v>
      </c>
      <c r="M221" s="4" t="s">
        <v>30</v>
      </c>
      <c r="N221" s="4" t="s">
        <v>31</v>
      </c>
      <c r="O221" s="4" t="s">
        <v>31</v>
      </c>
      <c r="P221" s="4" t="s">
        <v>412</v>
      </c>
    </row>
    <row r="222" spans="1:17" ht="22.5" customHeight="1" x14ac:dyDescent="0.2">
      <c r="A222" s="3">
        <v>46147.801769733793</v>
      </c>
      <c r="B222" s="4" t="s">
        <v>66</v>
      </c>
      <c r="C222" s="4" t="s">
        <v>44</v>
      </c>
      <c r="D222" s="4" t="s">
        <v>111</v>
      </c>
      <c r="E222" s="4" t="s">
        <v>28</v>
      </c>
      <c r="F222" s="4" t="s">
        <v>21</v>
      </c>
      <c r="G222" s="4" t="s">
        <v>30</v>
      </c>
      <c r="H222" s="4" t="s">
        <v>30</v>
      </c>
      <c r="I222" s="4" t="s">
        <v>30</v>
      </c>
      <c r="J222" s="4" t="s">
        <v>30</v>
      </c>
      <c r="K222" s="4" t="s">
        <v>30</v>
      </c>
      <c r="L222" s="4" t="s">
        <v>30</v>
      </c>
      <c r="M222" s="4" t="s">
        <v>30</v>
      </c>
      <c r="N222" s="4" t="s">
        <v>30</v>
      </c>
      <c r="O222" s="4" t="s">
        <v>30</v>
      </c>
      <c r="P222" s="4" t="s">
        <v>413</v>
      </c>
      <c r="Q222" s="4" t="s">
        <v>414</v>
      </c>
    </row>
    <row r="223" spans="1:17" ht="22.5" customHeight="1" x14ac:dyDescent="0.2">
      <c r="A223" s="3">
        <v>46147.804916608795</v>
      </c>
      <c r="B223" s="4" t="s">
        <v>107</v>
      </c>
      <c r="C223" s="4" t="s">
        <v>44</v>
      </c>
      <c r="D223" s="4" t="s">
        <v>111</v>
      </c>
      <c r="E223" s="4" t="s">
        <v>56</v>
      </c>
      <c r="F223" s="4" t="s">
        <v>21</v>
      </c>
      <c r="G223" s="4" t="s">
        <v>24</v>
      </c>
      <c r="H223" s="4" t="s">
        <v>24</v>
      </c>
      <c r="I223" s="4" t="s">
        <v>24</v>
      </c>
      <c r="J223" s="4" t="s">
        <v>30</v>
      </c>
      <c r="K223" s="4" t="s">
        <v>24</v>
      </c>
      <c r="L223" s="4" t="s">
        <v>24</v>
      </c>
      <c r="M223" s="4" t="s">
        <v>30</v>
      </c>
      <c r="N223" s="4" t="s">
        <v>30</v>
      </c>
      <c r="O223" s="4" t="s">
        <v>24</v>
      </c>
      <c r="P223" s="4" t="s">
        <v>415</v>
      </c>
    </row>
    <row r="224" spans="1:17" ht="22.5" customHeight="1" x14ac:dyDescent="0.2">
      <c r="A224" s="3">
        <v>46147.805681689817</v>
      </c>
      <c r="B224" s="4" t="s">
        <v>125</v>
      </c>
      <c r="C224" s="4" t="s">
        <v>18</v>
      </c>
      <c r="D224" s="4" t="s">
        <v>19</v>
      </c>
      <c r="E224" s="4" t="s">
        <v>56</v>
      </c>
      <c r="F224" s="4" t="s">
        <v>21</v>
      </c>
      <c r="G224" s="4" t="s">
        <v>22</v>
      </c>
      <c r="H224" s="4" t="s">
        <v>22</v>
      </c>
      <c r="I224" s="4" t="s">
        <v>22</v>
      </c>
      <c r="J224" s="4" t="s">
        <v>24</v>
      </c>
      <c r="K224" s="4" t="s">
        <v>22</v>
      </c>
      <c r="L224" s="4" t="s">
        <v>22</v>
      </c>
      <c r="M224" s="4" t="s">
        <v>24</v>
      </c>
      <c r="N224" s="4" t="s">
        <v>24</v>
      </c>
      <c r="O224" s="4" t="s">
        <v>22</v>
      </c>
      <c r="P224" s="4" t="s">
        <v>416</v>
      </c>
      <c r="Q224" s="4" t="s">
        <v>417</v>
      </c>
    </row>
    <row r="225" spans="1:17" ht="22.5" customHeight="1" x14ac:dyDescent="0.2">
      <c r="A225" s="3">
        <v>46147.814339375</v>
      </c>
      <c r="B225" s="4" t="s">
        <v>295</v>
      </c>
      <c r="C225" s="4" t="s">
        <v>44</v>
      </c>
      <c r="D225" s="4" t="s">
        <v>111</v>
      </c>
      <c r="E225" s="4" t="s">
        <v>20</v>
      </c>
      <c r="F225" s="4" t="s">
        <v>91</v>
      </c>
      <c r="G225" s="4" t="s">
        <v>31</v>
      </c>
      <c r="H225" s="4" t="s">
        <v>30</v>
      </c>
      <c r="I225" s="4" t="s">
        <v>31</v>
      </c>
      <c r="J225" s="4" t="s">
        <v>31</v>
      </c>
      <c r="K225" s="4" t="s">
        <v>31</v>
      </c>
      <c r="L225" s="4" t="s">
        <v>31</v>
      </c>
      <c r="M225" s="4" t="s">
        <v>30</v>
      </c>
      <c r="N225" s="4" t="s">
        <v>30</v>
      </c>
      <c r="O225" s="4" t="s">
        <v>30</v>
      </c>
      <c r="P225" s="4" t="s">
        <v>418</v>
      </c>
    </row>
    <row r="226" spans="1:17" ht="22.5" customHeight="1" x14ac:dyDescent="0.2">
      <c r="A226" s="3">
        <v>46147.815233032408</v>
      </c>
      <c r="B226" s="4" t="s">
        <v>148</v>
      </c>
      <c r="C226" s="4" t="s">
        <v>18</v>
      </c>
      <c r="D226" s="4" t="s">
        <v>111</v>
      </c>
      <c r="E226" s="4" t="s">
        <v>28</v>
      </c>
      <c r="F226" s="4" t="s">
        <v>91</v>
      </c>
      <c r="G226" s="4" t="s">
        <v>30</v>
      </c>
      <c r="H226" s="4" t="s">
        <v>30</v>
      </c>
      <c r="I226" s="4" t="s">
        <v>30</v>
      </c>
      <c r="J226" s="4" t="s">
        <v>31</v>
      </c>
      <c r="K226" s="4" t="s">
        <v>30</v>
      </c>
      <c r="L226" s="4" t="s">
        <v>30</v>
      </c>
      <c r="M226" s="4" t="s">
        <v>31</v>
      </c>
      <c r="N226" s="4" t="s">
        <v>31</v>
      </c>
      <c r="O226" s="4" t="s">
        <v>30</v>
      </c>
      <c r="P226" s="4" t="s">
        <v>419</v>
      </c>
    </row>
    <row r="227" spans="1:17" ht="22.5" customHeight="1" x14ac:dyDescent="0.2">
      <c r="A227" s="3">
        <v>46147.816335972224</v>
      </c>
      <c r="B227" s="4" t="s">
        <v>107</v>
      </c>
      <c r="C227" s="4" t="s">
        <v>18</v>
      </c>
      <c r="D227" s="4" t="s">
        <v>111</v>
      </c>
      <c r="E227" s="4" t="s">
        <v>56</v>
      </c>
      <c r="F227" s="4" t="s">
        <v>91</v>
      </c>
      <c r="G227" s="4" t="s">
        <v>24</v>
      </c>
      <c r="H227" s="4" t="s">
        <v>24</v>
      </c>
      <c r="I227" s="4" t="s">
        <v>24</v>
      </c>
      <c r="J227" s="4" t="s">
        <v>24</v>
      </c>
      <c r="K227" s="4" t="s">
        <v>30</v>
      </c>
      <c r="L227" s="4" t="s">
        <v>24</v>
      </c>
      <c r="M227" s="4" t="s">
        <v>30</v>
      </c>
      <c r="N227" s="4" t="s">
        <v>24</v>
      </c>
      <c r="O227" s="4" t="s">
        <v>24</v>
      </c>
      <c r="P227" s="4" t="s">
        <v>420</v>
      </c>
    </row>
    <row r="228" spans="1:17" ht="22.5" customHeight="1" x14ac:dyDescent="0.2">
      <c r="A228" s="3">
        <v>46147.81727615741</v>
      </c>
      <c r="B228" s="4" t="s">
        <v>125</v>
      </c>
      <c r="C228" s="4" t="s">
        <v>44</v>
      </c>
      <c r="D228" s="4" t="s">
        <v>19</v>
      </c>
      <c r="E228" s="4" t="s">
        <v>56</v>
      </c>
      <c r="F228" s="4" t="s">
        <v>21</v>
      </c>
      <c r="G228" s="4" t="s">
        <v>24</v>
      </c>
      <c r="H228" s="4" t="s">
        <v>22</v>
      </c>
      <c r="I228" s="4" t="s">
        <v>24</v>
      </c>
      <c r="J228" s="4" t="s">
        <v>24</v>
      </c>
      <c r="K228" s="4" t="s">
        <v>22</v>
      </c>
      <c r="L228" s="4" t="s">
        <v>22</v>
      </c>
      <c r="M228" s="4" t="s">
        <v>24</v>
      </c>
      <c r="N228" s="4" t="s">
        <v>24</v>
      </c>
      <c r="O228" s="4" t="s">
        <v>24</v>
      </c>
      <c r="P228" s="4" t="s">
        <v>421</v>
      </c>
    </row>
    <row r="229" spans="1:17" ht="22.5" customHeight="1" x14ac:dyDescent="0.2">
      <c r="A229" s="3">
        <v>46147.818443032404</v>
      </c>
      <c r="B229" s="4" t="s">
        <v>136</v>
      </c>
      <c r="C229" s="4" t="s">
        <v>44</v>
      </c>
      <c r="D229" s="4" t="s">
        <v>19</v>
      </c>
      <c r="E229" s="4" t="s">
        <v>36</v>
      </c>
      <c r="F229" s="4" t="s">
        <v>21</v>
      </c>
      <c r="G229" s="4" t="s">
        <v>22</v>
      </c>
      <c r="H229" s="4" t="s">
        <v>22</v>
      </c>
      <c r="I229" s="4" t="s">
        <v>22</v>
      </c>
      <c r="J229" s="4" t="s">
        <v>22</v>
      </c>
      <c r="K229" s="4" t="s">
        <v>22</v>
      </c>
      <c r="L229" s="4" t="s">
        <v>23</v>
      </c>
      <c r="M229" s="4" t="s">
        <v>22</v>
      </c>
      <c r="N229" s="4" t="s">
        <v>22</v>
      </c>
      <c r="O229" s="4" t="s">
        <v>22</v>
      </c>
      <c r="P229" s="4" t="s">
        <v>422</v>
      </c>
    </row>
    <row r="230" spans="1:17" ht="22.5" customHeight="1" x14ac:dyDescent="0.2">
      <c r="A230" s="3">
        <v>46147.819376041662</v>
      </c>
      <c r="B230" s="4" t="s">
        <v>47</v>
      </c>
      <c r="C230" s="4" t="s">
        <v>18</v>
      </c>
      <c r="D230" s="4" t="s">
        <v>19</v>
      </c>
      <c r="E230" s="4" t="s">
        <v>36</v>
      </c>
      <c r="F230" s="4" t="s">
        <v>21</v>
      </c>
      <c r="G230" s="4" t="s">
        <v>51</v>
      </c>
      <c r="H230" s="4" t="s">
        <v>23</v>
      </c>
      <c r="I230" s="4" t="s">
        <v>23</v>
      </c>
      <c r="J230" s="4" t="s">
        <v>23</v>
      </c>
      <c r="K230" s="4" t="s">
        <v>23</v>
      </c>
      <c r="L230" s="4" t="s">
        <v>23</v>
      </c>
      <c r="M230" s="4" t="s">
        <v>23</v>
      </c>
      <c r="N230" s="4" t="s">
        <v>23</v>
      </c>
      <c r="O230" s="4" t="s">
        <v>23</v>
      </c>
      <c r="P230" s="4" t="s">
        <v>423</v>
      </c>
    </row>
    <row r="231" spans="1:17" ht="22.5" customHeight="1" x14ac:dyDescent="0.2">
      <c r="A231" s="3">
        <v>46147.820316956015</v>
      </c>
      <c r="B231" s="4" t="s">
        <v>17</v>
      </c>
      <c r="C231" s="4" t="s">
        <v>44</v>
      </c>
      <c r="D231" s="4" t="s">
        <v>19</v>
      </c>
      <c r="E231" s="4" t="s">
        <v>36</v>
      </c>
      <c r="F231" s="4" t="s">
        <v>48</v>
      </c>
      <c r="G231" s="4" t="s">
        <v>51</v>
      </c>
      <c r="H231" s="4" t="s">
        <v>22</v>
      </c>
      <c r="I231" s="4" t="s">
        <v>23</v>
      </c>
      <c r="J231" s="4" t="s">
        <v>23</v>
      </c>
      <c r="K231" s="4" t="s">
        <v>23</v>
      </c>
      <c r="L231" s="4" t="s">
        <v>22</v>
      </c>
      <c r="M231" s="4" t="s">
        <v>23</v>
      </c>
      <c r="N231" s="4" t="s">
        <v>23</v>
      </c>
      <c r="O231" s="4" t="s">
        <v>23</v>
      </c>
      <c r="P231" s="4" t="s">
        <v>424</v>
      </c>
    </row>
    <row r="232" spans="1:17" ht="22.5" customHeight="1" x14ac:dyDescent="0.2">
      <c r="A232" s="3">
        <v>46147.821543738421</v>
      </c>
      <c r="B232" s="4" t="s">
        <v>107</v>
      </c>
      <c r="C232" s="4" t="s">
        <v>18</v>
      </c>
      <c r="D232" s="4" t="s">
        <v>111</v>
      </c>
      <c r="E232" s="4" t="s">
        <v>56</v>
      </c>
      <c r="F232" s="4" t="s">
        <v>21</v>
      </c>
      <c r="G232" s="4" t="s">
        <v>24</v>
      </c>
      <c r="H232" s="4" t="s">
        <v>30</v>
      </c>
      <c r="I232" s="4" t="s">
        <v>30</v>
      </c>
      <c r="J232" s="4" t="s">
        <v>24</v>
      </c>
      <c r="K232" s="4" t="s">
        <v>24</v>
      </c>
      <c r="L232" s="4" t="s">
        <v>24</v>
      </c>
      <c r="M232" s="4" t="s">
        <v>24</v>
      </c>
      <c r="N232" s="4" t="s">
        <v>30</v>
      </c>
      <c r="O232" s="4" t="s">
        <v>30</v>
      </c>
      <c r="P232" s="4" t="s">
        <v>425</v>
      </c>
    </row>
    <row r="233" spans="1:17" ht="22.5" customHeight="1" x14ac:dyDescent="0.2">
      <c r="A233" s="3">
        <v>46147.82221111111</v>
      </c>
      <c r="B233" s="4" t="s">
        <v>148</v>
      </c>
      <c r="C233" s="4" t="s">
        <v>44</v>
      </c>
      <c r="D233" s="4" t="s">
        <v>111</v>
      </c>
      <c r="E233" s="4" t="s">
        <v>20</v>
      </c>
      <c r="F233" s="4" t="s">
        <v>91</v>
      </c>
      <c r="G233" s="4" t="s">
        <v>31</v>
      </c>
      <c r="H233" s="4" t="s">
        <v>31</v>
      </c>
      <c r="I233" s="4" t="s">
        <v>31</v>
      </c>
      <c r="J233" s="4" t="s">
        <v>31</v>
      </c>
      <c r="K233" s="4" t="s">
        <v>31</v>
      </c>
      <c r="L233" s="4" t="s">
        <v>31</v>
      </c>
      <c r="M233" s="4" t="s">
        <v>31</v>
      </c>
      <c r="N233" s="4" t="s">
        <v>31</v>
      </c>
      <c r="O233" s="4" t="s">
        <v>31</v>
      </c>
      <c r="P233" s="4" t="s">
        <v>426</v>
      </c>
    </row>
    <row r="234" spans="1:17" ht="22.5" customHeight="1" x14ac:dyDescent="0.2">
      <c r="A234" s="3">
        <v>46147.823383414347</v>
      </c>
      <c r="B234" s="4" t="s">
        <v>17</v>
      </c>
      <c r="C234" s="4" t="s">
        <v>44</v>
      </c>
      <c r="D234" s="4" t="s">
        <v>19</v>
      </c>
      <c r="E234" s="4" t="s">
        <v>28</v>
      </c>
      <c r="F234" s="4" t="s">
        <v>21</v>
      </c>
      <c r="G234" s="4" t="s">
        <v>22</v>
      </c>
      <c r="H234" s="4" t="s">
        <v>22</v>
      </c>
      <c r="I234" s="4" t="s">
        <v>22</v>
      </c>
      <c r="J234" s="4" t="s">
        <v>22</v>
      </c>
      <c r="K234" s="4" t="s">
        <v>24</v>
      </c>
      <c r="L234" s="4" t="s">
        <v>22</v>
      </c>
      <c r="M234" s="4" t="s">
        <v>22</v>
      </c>
      <c r="N234" s="4" t="s">
        <v>23</v>
      </c>
      <c r="O234" s="4" t="s">
        <v>23</v>
      </c>
      <c r="P234" s="4" t="s">
        <v>427</v>
      </c>
    </row>
    <row r="235" spans="1:17" ht="22.5" customHeight="1" x14ac:dyDescent="0.2">
      <c r="A235" s="3">
        <v>46147.824185358797</v>
      </c>
      <c r="B235" s="4" t="s">
        <v>66</v>
      </c>
      <c r="C235" s="4" t="s">
        <v>18</v>
      </c>
      <c r="D235" s="4" t="s">
        <v>111</v>
      </c>
      <c r="E235" s="4" t="s">
        <v>28</v>
      </c>
      <c r="F235" s="4" t="s">
        <v>91</v>
      </c>
      <c r="G235" s="4" t="s">
        <v>30</v>
      </c>
      <c r="H235" s="4" t="s">
        <v>30</v>
      </c>
      <c r="I235" s="4" t="s">
        <v>24</v>
      </c>
      <c r="J235" s="4" t="s">
        <v>30</v>
      </c>
      <c r="K235" s="4" t="s">
        <v>30</v>
      </c>
      <c r="L235" s="4" t="s">
        <v>30</v>
      </c>
      <c r="M235" s="4" t="s">
        <v>24</v>
      </c>
      <c r="N235" s="4" t="s">
        <v>24</v>
      </c>
      <c r="O235" s="4" t="s">
        <v>30</v>
      </c>
      <c r="P235" s="4" t="s">
        <v>428</v>
      </c>
    </row>
    <row r="236" spans="1:17" ht="22.5" customHeight="1" x14ac:dyDescent="0.2">
      <c r="A236" s="3">
        <v>46147.825898344905</v>
      </c>
      <c r="B236" s="4" t="s">
        <v>125</v>
      </c>
      <c r="C236" s="4" t="s">
        <v>18</v>
      </c>
      <c r="D236" s="4" t="s">
        <v>19</v>
      </c>
      <c r="E236" s="4" t="s">
        <v>56</v>
      </c>
      <c r="F236" s="4" t="s">
        <v>48</v>
      </c>
      <c r="G236" s="4" t="s">
        <v>24</v>
      </c>
      <c r="H236" s="4" t="s">
        <v>24</v>
      </c>
      <c r="I236" s="4" t="s">
        <v>22</v>
      </c>
      <c r="J236" s="4" t="s">
        <v>24</v>
      </c>
      <c r="K236" s="4" t="s">
        <v>24</v>
      </c>
      <c r="L236" s="4" t="s">
        <v>22</v>
      </c>
      <c r="M236" s="4" t="s">
        <v>22</v>
      </c>
      <c r="N236" s="4" t="s">
        <v>23</v>
      </c>
      <c r="O236" s="4" t="s">
        <v>23</v>
      </c>
      <c r="P236" s="4" t="s">
        <v>429</v>
      </c>
      <c r="Q236" s="4" t="s">
        <v>430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0C76C-F92C-4088-8AB2-3289215E0ACA}">
  <dimension ref="A1:AP143"/>
  <sheetViews>
    <sheetView tabSelected="1" zoomScale="85" zoomScaleNormal="85" workbookViewId="0">
      <selection activeCell="L11" sqref="L11"/>
    </sheetView>
  </sheetViews>
  <sheetFormatPr baseColWidth="10" defaultRowHeight="14.25" x14ac:dyDescent="0.2"/>
  <cols>
    <col min="1" max="1" width="18.140625" bestFit="1" customWidth="1"/>
    <col min="2" max="2" width="8.140625" style="63" bestFit="1" customWidth="1"/>
    <col min="3" max="5" width="7.5703125" style="63" bestFit="1" customWidth="1"/>
    <col min="6" max="6" width="7.85546875" style="63" bestFit="1" customWidth="1"/>
    <col min="7" max="11" width="8.85546875" style="63" bestFit="1" customWidth="1"/>
    <col min="12" max="12" width="17.5703125" style="76" customWidth="1"/>
    <col min="13" max="13" width="22.7109375" style="75" customWidth="1"/>
    <col min="14" max="14" width="13" style="75" bestFit="1" customWidth="1"/>
    <col min="16" max="16" width="14.7109375" bestFit="1" customWidth="1"/>
    <col min="17" max="17" width="25" customWidth="1"/>
    <col min="18" max="18" width="19" bestFit="1" customWidth="1"/>
    <col min="21" max="21" width="32.5703125" bestFit="1" customWidth="1"/>
    <col min="23" max="25" width="11.5703125" bestFit="1" customWidth="1"/>
    <col min="26" max="26" width="12.42578125" bestFit="1" customWidth="1"/>
    <col min="27" max="32" width="11.5703125" bestFit="1" customWidth="1"/>
    <col min="33" max="33" width="19.42578125" style="110" customWidth="1"/>
    <col min="34" max="34" width="15" bestFit="1" customWidth="1"/>
    <col min="35" max="35" width="13.7109375" customWidth="1"/>
    <col min="37" max="37" width="22" customWidth="1"/>
    <col min="39" max="39" width="19.28515625" bestFit="1" customWidth="1"/>
    <col min="40" max="40" width="12.7109375" bestFit="1" customWidth="1"/>
    <col min="41" max="41" width="15.5703125" bestFit="1" customWidth="1"/>
    <col min="42" max="42" width="31.28515625" customWidth="1"/>
  </cols>
  <sheetData>
    <row r="1" spans="1:40" x14ac:dyDescent="0.2">
      <c r="A1" s="6" t="s">
        <v>511</v>
      </c>
      <c r="B1" s="62" t="s">
        <v>512</v>
      </c>
    </row>
    <row r="2" spans="1:40" x14ac:dyDescent="0.2">
      <c r="A2" s="59" t="s">
        <v>505</v>
      </c>
      <c r="B2" s="64">
        <v>53</v>
      </c>
      <c r="O2" s="92"/>
      <c r="P2" s="61"/>
      <c r="Q2" s="61"/>
      <c r="R2" s="61"/>
      <c r="S2" s="61"/>
      <c r="T2" s="61"/>
    </row>
    <row r="3" spans="1:40" x14ac:dyDescent="0.2">
      <c r="A3" s="59" t="s">
        <v>506</v>
      </c>
      <c r="B3" s="64">
        <v>79</v>
      </c>
      <c r="O3" s="61"/>
      <c r="P3" s="61"/>
      <c r="Q3" s="61"/>
      <c r="R3" s="61"/>
      <c r="S3" s="61"/>
      <c r="T3" s="61"/>
    </row>
    <row r="4" spans="1:40" x14ac:dyDescent="0.2">
      <c r="A4" s="6" t="s">
        <v>507</v>
      </c>
      <c r="B4" s="62">
        <v>60</v>
      </c>
      <c r="O4" s="61"/>
      <c r="P4" s="61"/>
      <c r="Q4" s="61"/>
      <c r="S4" s="61"/>
      <c r="T4" s="61"/>
    </row>
    <row r="5" spans="1:40" x14ac:dyDescent="0.2">
      <c r="A5" s="58" t="s">
        <v>508</v>
      </c>
      <c r="B5" s="65">
        <v>35</v>
      </c>
      <c r="H5" s="66">
        <f>SUM(B2:B3)</f>
        <v>132</v>
      </c>
      <c r="O5" s="61"/>
      <c r="P5" s="61"/>
      <c r="Q5" s="61"/>
      <c r="R5" s="61"/>
      <c r="S5" s="61"/>
      <c r="T5" s="61"/>
    </row>
    <row r="6" spans="1:40" x14ac:dyDescent="0.2">
      <c r="A6" s="58" t="s">
        <v>509</v>
      </c>
      <c r="B6" s="65">
        <v>5</v>
      </c>
      <c r="H6" s="114">
        <f>SUM(B5:B6)</f>
        <v>40</v>
      </c>
      <c r="O6" s="61"/>
      <c r="P6" s="61"/>
      <c r="Q6" s="61"/>
      <c r="R6" s="61"/>
      <c r="S6" s="61"/>
      <c r="T6" s="61"/>
    </row>
    <row r="7" spans="1:40" x14ac:dyDescent="0.2">
      <c r="A7" s="6" t="s">
        <v>510</v>
      </c>
      <c r="B7" s="62">
        <v>3</v>
      </c>
      <c r="O7" s="61"/>
      <c r="P7" s="61"/>
      <c r="Q7" s="61"/>
      <c r="R7" s="61"/>
      <c r="S7" s="61"/>
      <c r="T7" s="61"/>
    </row>
    <row r="8" spans="1:40" x14ac:dyDescent="0.2">
      <c r="A8" s="6"/>
      <c r="B8" s="62">
        <f>SUM(B2:B7)</f>
        <v>235</v>
      </c>
      <c r="O8" s="61"/>
      <c r="P8" s="61"/>
      <c r="Q8" s="61"/>
      <c r="R8" s="61"/>
      <c r="S8" s="61"/>
      <c r="T8" s="61"/>
    </row>
    <row r="9" spans="1:40" x14ac:dyDescent="0.2">
      <c r="Q9" s="93"/>
      <c r="R9" s="93"/>
    </row>
    <row r="10" spans="1:40" ht="15.75" thickBot="1" x14ac:dyDescent="0.25">
      <c r="B10" s="67" t="s">
        <v>463</v>
      </c>
      <c r="C10" s="68" t="s">
        <v>513</v>
      </c>
      <c r="D10" s="68" t="s">
        <v>514</v>
      </c>
      <c r="E10" s="68" t="s">
        <v>515</v>
      </c>
      <c r="F10" s="68" t="s">
        <v>516</v>
      </c>
      <c r="G10" s="68" t="s">
        <v>517</v>
      </c>
      <c r="H10" s="68" t="s">
        <v>518</v>
      </c>
      <c r="I10" s="68" t="s">
        <v>519</v>
      </c>
      <c r="J10" s="68" t="s">
        <v>520</v>
      </c>
      <c r="K10" s="68" t="s">
        <v>521</v>
      </c>
      <c r="L10" s="77" t="s">
        <v>523</v>
      </c>
      <c r="M10" s="82" t="s">
        <v>524</v>
      </c>
      <c r="N10" s="82" t="s">
        <v>525</v>
      </c>
      <c r="O10" s="67" t="s">
        <v>537</v>
      </c>
      <c r="Q10" s="93"/>
      <c r="R10" s="93"/>
      <c r="S10" s="93"/>
    </row>
    <row r="11" spans="1:40" ht="32.25" thickBot="1" x14ac:dyDescent="0.3">
      <c r="B11" s="69">
        <v>1</v>
      </c>
      <c r="C11" s="70">
        <v>4</v>
      </c>
      <c r="D11" s="70">
        <v>5</v>
      </c>
      <c r="E11" s="70">
        <v>4</v>
      </c>
      <c r="F11" s="70">
        <v>3</v>
      </c>
      <c r="G11" s="70">
        <v>4</v>
      </c>
      <c r="H11" s="70">
        <v>5</v>
      </c>
      <c r="I11" s="70">
        <v>4</v>
      </c>
      <c r="J11" s="70">
        <v>5</v>
      </c>
      <c r="K11" s="70">
        <v>4</v>
      </c>
      <c r="L11" s="78">
        <f>SUM(Tabla26[[#This Row],[R6]:[R14]])/9</f>
        <v>4.2222222222222223</v>
      </c>
      <c r="M11" s="80">
        <f>Tabla26[[#This Row],[Promedio Xi]]-$O$143</f>
        <v>1.2289562289562284</v>
      </c>
      <c r="N11" s="84">
        <f>Tabla26[[#This Row],[Xi-X̄]]^2</f>
        <v>1.5103334126903136</v>
      </c>
      <c r="O11" s="83"/>
      <c r="Q11" s="99" t="s">
        <v>528</v>
      </c>
      <c r="R11" s="93"/>
      <c r="S11" s="93"/>
      <c r="AK11" s="99" t="s">
        <v>528</v>
      </c>
    </row>
    <row r="12" spans="1:40" ht="15.75" thickBot="1" x14ac:dyDescent="0.25">
      <c r="B12" s="71">
        <v>2</v>
      </c>
      <c r="C12" s="72">
        <v>3</v>
      </c>
      <c r="D12" s="72">
        <v>3</v>
      </c>
      <c r="E12" s="72">
        <v>3</v>
      </c>
      <c r="F12" s="72">
        <v>2</v>
      </c>
      <c r="G12" s="72">
        <v>3</v>
      </c>
      <c r="H12" s="72">
        <v>3</v>
      </c>
      <c r="I12" s="72">
        <v>3</v>
      </c>
      <c r="J12" s="72">
        <v>1</v>
      </c>
      <c r="K12" s="72">
        <v>4</v>
      </c>
      <c r="L12" s="78">
        <f>SUM(Tabla26[[#This Row],[R6]:[R14]])/9</f>
        <v>2.7777777777777777</v>
      </c>
      <c r="M12" s="81">
        <f>Tabla26[[#This Row],[Promedio Xi]]-$O$143</f>
        <v>-0.21548821548821628</v>
      </c>
      <c r="N12" s="85">
        <f>Tabla26[[#This Row],[Xi-X̄]]^2</f>
        <v>4.6435171014295937E-2</v>
      </c>
      <c r="O12" s="83"/>
      <c r="Q12" s="93"/>
      <c r="R12" s="93"/>
    </row>
    <row r="13" spans="1:40" ht="15.75" thickBot="1" x14ac:dyDescent="0.25">
      <c r="B13" s="69">
        <v>3</v>
      </c>
      <c r="C13" s="70">
        <v>2</v>
      </c>
      <c r="D13" s="70">
        <v>3</v>
      </c>
      <c r="E13" s="70">
        <v>3</v>
      </c>
      <c r="F13" s="70">
        <v>2</v>
      </c>
      <c r="G13" s="70">
        <v>4</v>
      </c>
      <c r="H13" s="70">
        <v>3</v>
      </c>
      <c r="I13" s="70">
        <v>3</v>
      </c>
      <c r="J13" s="70">
        <v>3</v>
      </c>
      <c r="K13" s="70">
        <v>4</v>
      </c>
      <c r="L13" s="78">
        <f>SUM(Tabla26[[#This Row],[R6]:[R14]])/9</f>
        <v>3</v>
      </c>
      <c r="M13" s="81">
        <f>Tabla26[[#This Row],[Promedio Xi]]-$O$143</f>
        <v>6.7340067340060372E-3</v>
      </c>
      <c r="N13" s="85">
        <f>Tabla26[[#This Row],[Xi-X̄]]^2</f>
        <v>4.5346846693638659E-5</v>
      </c>
      <c r="O13" s="83"/>
      <c r="Q13" s="93"/>
      <c r="R13" s="93"/>
      <c r="S13" s="93"/>
    </row>
    <row r="14" spans="1:40" ht="15.75" thickBot="1" x14ac:dyDescent="0.25">
      <c r="B14" s="71">
        <v>4</v>
      </c>
      <c r="C14" s="72">
        <v>3</v>
      </c>
      <c r="D14" s="72">
        <v>4</v>
      </c>
      <c r="E14" s="72">
        <v>3</v>
      </c>
      <c r="F14" s="72">
        <v>3</v>
      </c>
      <c r="G14" s="72">
        <v>4</v>
      </c>
      <c r="H14" s="72">
        <v>3</v>
      </c>
      <c r="I14" s="72">
        <v>4</v>
      </c>
      <c r="J14" s="72">
        <v>4</v>
      </c>
      <c r="K14" s="72">
        <v>4</v>
      </c>
      <c r="L14" s="78">
        <f>SUM(Tabla26[[#This Row],[R6]:[R14]])/9</f>
        <v>3.5555555555555554</v>
      </c>
      <c r="M14" s="81">
        <f>Tabla26[[#This Row],[Promedio Xi]]-$O$143</f>
        <v>0.5622895622895614</v>
      </c>
      <c r="N14" s="85">
        <f>Tabla26[[#This Row],[Xi-X̄]]^2</f>
        <v>0.31616955185978657</v>
      </c>
      <c r="O14" s="83"/>
    </row>
    <row r="15" spans="1:40" ht="15.75" thickBot="1" x14ac:dyDescent="0.25">
      <c r="B15" s="69">
        <v>5</v>
      </c>
      <c r="C15" s="70">
        <v>3</v>
      </c>
      <c r="D15" s="70">
        <v>3</v>
      </c>
      <c r="E15" s="70">
        <v>3</v>
      </c>
      <c r="F15" s="70">
        <v>3</v>
      </c>
      <c r="G15" s="70">
        <v>3</v>
      </c>
      <c r="H15" s="70">
        <v>3</v>
      </c>
      <c r="I15" s="70">
        <v>4</v>
      </c>
      <c r="J15" s="70">
        <v>2</v>
      </c>
      <c r="K15" s="70">
        <v>5</v>
      </c>
      <c r="L15" s="78">
        <f>SUM(Tabla26[[#This Row],[R6]:[R14]])/9</f>
        <v>3.2222222222222223</v>
      </c>
      <c r="M15" s="81">
        <f>Tabla26[[#This Row],[Promedio Xi]]-$O$143</f>
        <v>0.22895622895622836</v>
      </c>
      <c r="N15" s="85">
        <f>Tabla26[[#This Row],[Xi-X̄]]^2</f>
        <v>5.2420954777856861E-2</v>
      </c>
      <c r="O15" s="83"/>
      <c r="Q15" s="95" t="s">
        <v>529</v>
      </c>
      <c r="R15" s="97">
        <v>2.9932620000000001</v>
      </c>
      <c r="S15" s="89" t="s">
        <v>534</v>
      </c>
    </row>
    <row r="16" spans="1:40" ht="15.75" thickBot="1" x14ac:dyDescent="0.25">
      <c r="B16" s="71">
        <v>6</v>
      </c>
      <c r="C16" s="72">
        <v>5</v>
      </c>
      <c r="D16" s="72">
        <v>1</v>
      </c>
      <c r="E16" s="72">
        <v>5</v>
      </c>
      <c r="F16" s="72">
        <v>3</v>
      </c>
      <c r="G16" s="72">
        <v>3</v>
      </c>
      <c r="H16" s="72">
        <v>3</v>
      </c>
      <c r="I16" s="72">
        <v>3</v>
      </c>
      <c r="J16" s="72">
        <v>4</v>
      </c>
      <c r="K16" s="72">
        <v>4</v>
      </c>
      <c r="L16" s="78">
        <f>SUM(Tabla26[[#This Row],[R6]:[R14]])/9</f>
        <v>3.4444444444444446</v>
      </c>
      <c r="M16" s="81">
        <f>Tabla26[[#This Row],[Promedio Xi]]-$O$143</f>
        <v>0.45117845117845068</v>
      </c>
      <c r="N16" s="85">
        <f>Tabla26[[#This Row],[Xi-X̄]]^2</f>
        <v>0.20356199480778561</v>
      </c>
      <c r="O16" s="83"/>
      <c r="Q16" s="96" t="s">
        <v>530</v>
      </c>
      <c r="R16" s="97">
        <v>0.77209331599999997</v>
      </c>
      <c r="S16" s="90">
        <f>(R15-R18)/(R16/SQRT(R17))</f>
        <v>-0.10026472787745964</v>
      </c>
      <c r="T16" s="90"/>
      <c r="U16" s="89" t="s">
        <v>533</v>
      </c>
      <c r="W16" s="102" t="s">
        <v>463</v>
      </c>
      <c r="X16" s="103" t="s">
        <v>513</v>
      </c>
      <c r="Y16" s="103" t="s">
        <v>514</v>
      </c>
      <c r="Z16" s="103" t="s">
        <v>515</v>
      </c>
      <c r="AA16" s="103" t="s">
        <v>516</v>
      </c>
      <c r="AB16" s="103" t="s">
        <v>517</v>
      </c>
      <c r="AC16" s="103" t="s">
        <v>518</v>
      </c>
      <c r="AD16" s="103" t="s">
        <v>519</v>
      </c>
      <c r="AE16" s="103" t="s">
        <v>520</v>
      </c>
      <c r="AF16" s="103" t="s">
        <v>521</v>
      </c>
      <c r="AG16" s="111" t="s">
        <v>536</v>
      </c>
      <c r="AH16" s="103" t="s">
        <v>535</v>
      </c>
      <c r="AI16" s="103" t="s">
        <v>538</v>
      </c>
      <c r="AN16" s="88" t="s">
        <v>539</v>
      </c>
    </row>
    <row r="17" spans="2:42" ht="15.75" thickBot="1" x14ac:dyDescent="0.25">
      <c r="B17" s="69">
        <v>7</v>
      </c>
      <c r="C17" s="70">
        <v>3</v>
      </c>
      <c r="D17" s="70">
        <v>3</v>
      </c>
      <c r="E17" s="70">
        <v>3</v>
      </c>
      <c r="F17" s="70">
        <v>3</v>
      </c>
      <c r="G17" s="70">
        <v>3</v>
      </c>
      <c r="H17" s="70">
        <v>3</v>
      </c>
      <c r="I17" s="70">
        <v>2</v>
      </c>
      <c r="J17" s="70">
        <v>3</v>
      </c>
      <c r="K17" s="70">
        <v>4</v>
      </c>
      <c r="L17" s="78">
        <f>SUM(Tabla26[[#This Row],[R6]:[R14]])/9</f>
        <v>3</v>
      </c>
      <c r="M17" s="81">
        <f>Tabla26[[#This Row],[Promedio Xi]]-$O$143</f>
        <v>6.7340067340060372E-3</v>
      </c>
      <c r="N17" s="85">
        <f>Tabla26[[#This Row],[Xi-X̄]]^2</f>
        <v>4.5346846693638659E-5</v>
      </c>
      <c r="O17" s="83"/>
      <c r="Q17" s="95" t="s">
        <v>531</v>
      </c>
      <c r="R17" s="98">
        <v>132</v>
      </c>
      <c r="W17" s="104">
        <v>1</v>
      </c>
      <c r="X17" s="104">
        <v>3</v>
      </c>
      <c r="Y17" s="104">
        <v>2</v>
      </c>
      <c r="Z17" s="104">
        <v>3</v>
      </c>
      <c r="AA17" s="104">
        <v>1</v>
      </c>
      <c r="AB17" s="104">
        <v>2</v>
      </c>
      <c r="AC17" s="104">
        <v>3</v>
      </c>
      <c r="AD17" s="104">
        <v>3</v>
      </c>
      <c r="AE17" s="104">
        <v>5</v>
      </c>
      <c r="AF17" s="104">
        <v>5</v>
      </c>
      <c r="AG17" s="112">
        <f>SUM(X17:AF17)/9</f>
        <v>3</v>
      </c>
      <c r="AH17" s="105">
        <f>AG17-$AK$57</f>
        <v>-0.68888888888888911</v>
      </c>
      <c r="AI17" s="100">
        <f>AH17^2</f>
        <v>0.47456790123456821</v>
      </c>
      <c r="AK17" s="95" t="s">
        <v>529</v>
      </c>
      <c r="AL17" s="97">
        <f>AG57/40</f>
        <v>3.6888888888888891</v>
      </c>
      <c r="AN17" s="7">
        <f>(AL17-AL20)/(AL18/SQRT(AL19))</f>
        <v>4.5283042739933288</v>
      </c>
      <c r="AP17" s="60" t="s">
        <v>540</v>
      </c>
    </row>
    <row r="18" spans="2:42" ht="15.75" thickBot="1" x14ac:dyDescent="0.25">
      <c r="B18" s="71">
        <v>8</v>
      </c>
      <c r="C18" s="72">
        <v>2</v>
      </c>
      <c r="D18" s="72">
        <v>4</v>
      </c>
      <c r="E18" s="72">
        <v>3</v>
      </c>
      <c r="F18" s="72">
        <v>3</v>
      </c>
      <c r="G18" s="72">
        <v>3</v>
      </c>
      <c r="H18" s="72">
        <v>3</v>
      </c>
      <c r="I18" s="72">
        <v>3</v>
      </c>
      <c r="J18" s="72">
        <v>5</v>
      </c>
      <c r="K18" s="72">
        <v>5</v>
      </c>
      <c r="L18" s="78">
        <f>SUM(Tabla26[[#This Row],[R6]:[R14]])/9</f>
        <v>3.4444444444444446</v>
      </c>
      <c r="M18" s="81">
        <f>Tabla26[[#This Row],[Promedio Xi]]-$O$143</f>
        <v>0.45117845117845068</v>
      </c>
      <c r="N18" s="85">
        <f>Tabla26[[#This Row],[Xi-X̄]]^2</f>
        <v>0.20356199480778561</v>
      </c>
      <c r="O18" s="83"/>
      <c r="Q18" s="96" t="s">
        <v>532</v>
      </c>
      <c r="R18" s="98">
        <v>3</v>
      </c>
      <c r="W18" s="106">
        <v>2</v>
      </c>
      <c r="X18" s="107">
        <v>3</v>
      </c>
      <c r="Y18" s="107">
        <v>2</v>
      </c>
      <c r="Z18" s="107">
        <v>1</v>
      </c>
      <c r="AA18" s="107">
        <v>1</v>
      </c>
      <c r="AB18" s="107">
        <v>4</v>
      </c>
      <c r="AC18" s="107">
        <v>2</v>
      </c>
      <c r="AD18" s="107">
        <v>3</v>
      </c>
      <c r="AE18" s="107">
        <v>3</v>
      </c>
      <c r="AF18" s="107">
        <v>3</v>
      </c>
      <c r="AG18" s="112">
        <f t="shared" ref="AG18:AG56" si="0">SUM(X18:AF18)/9</f>
        <v>2.4444444444444446</v>
      </c>
      <c r="AH18" s="105">
        <f t="shared" ref="AH18:AH56" si="1">AG18-$AK$57</f>
        <v>-1.2444444444444445</v>
      </c>
      <c r="AI18" s="100">
        <f t="shared" ref="AI18:AI56" si="2">AH18^2</f>
        <v>1.548641975308642</v>
      </c>
      <c r="AK18" s="96" t="s">
        <v>530</v>
      </c>
      <c r="AL18" s="97">
        <f>SQRT(AK54)</f>
        <v>0.96215175123400309</v>
      </c>
    </row>
    <row r="19" spans="2:42" ht="15.75" thickBot="1" x14ac:dyDescent="0.25">
      <c r="B19" s="69">
        <v>9</v>
      </c>
      <c r="C19" s="70">
        <v>3</v>
      </c>
      <c r="D19" s="70">
        <v>4</v>
      </c>
      <c r="E19" s="70">
        <v>4</v>
      </c>
      <c r="F19" s="70">
        <v>2</v>
      </c>
      <c r="G19" s="70">
        <v>3</v>
      </c>
      <c r="H19" s="70">
        <v>4</v>
      </c>
      <c r="I19" s="70">
        <v>3</v>
      </c>
      <c r="J19" s="70">
        <v>3</v>
      </c>
      <c r="K19" s="70">
        <v>4</v>
      </c>
      <c r="L19" s="78">
        <f>SUM(Tabla26[[#This Row],[R6]:[R14]])/9</f>
        <v>3.3333333333333335</v>
      </c>
      <c r="M19" s="81">
        <f>Tabla26[[#This Row],[Promedio Xi]]-$O$143</f>
        <v>0.34006734006733952</v>
      </c>
      <c r="N19" s="85">
        <f>Tabla26[[#This Row],[Xi-X̄]]^2</f>
        <v>0.11564579578047554</v>
      </c>
      <c r="O19" s="83"/>
      <c r="W19" s="108">
        <v>3</v>
      </c>
      <c r="X19" s="104">
        <v>3</v>
      </c>
      <c r="Y19" s="104">
        <v>2</v>
      </c>
      <c r="Z19" s="104">
        <v>3</v>
      </c>
      <c r="AA19" s="104">
        <v>3</v>
      </c>
      <c r="AB19" s="104">
        <v>3</v>
      </c>
      <c r="AC19" s="104">
        <v>4</v>
      </c>
      <c r="AD19" s="104">
        <v>3</v>
      </c>
      <c r="AE19" s="104">
        <v>4</v>
      </c>
      <c r="AF19" s="104">
        <v>5</v>
      </c>
      <c r="AG19" s="112">
        <f t="shared" si="0"/>
        <v>3.3333333333333335</v>
      </c>
      <c r="AH19" s="105">
        <f t="shared" si="1"/>
        <v>-0.35555555555555562</v>
      </c>
      <c r="AI19" s="100">
        <f t="shared" si="2"/>
        <v>0.12641975308641981</v>
      </c>
      <c r="AK19" s="95" t="s">
        <v>531</v>
      </c>
      <c r="AL19" s="98">
        <v>40</v>
      </c>
    </row>
    <row r="20" spans="2:42" ht="15.75" thickBot="1" x14ac:dyDescent="0.25">
      <c r="B20" s="71">
        <v>10</v>
      </c>
      <c r="C20" s="72">
        <v>3</v>
      </c>
      <c r="D20" s="72">
        <v>4</v>
      </c>
      <c r="E20" s="72">
        <v>3</v>
      </c>
      <c r="F20" s="72">
        <v>2</v>
      </c>
      <c r="G20" s="72">
        <v>4</v>
      </c>
      <c r="H20" s="72">
        <v>3</v>
      </c>
      <c r="I20" s="72">
        <v>3</v>
      </c>
      <c r="J20" s="72">
        <v>3</v>
      </c>
      <c r="K20" s="72">
        <v>3</v>
      </c>
      <c r="L20" s="78">
        <f>SUM(Tabla26[[#This Row],[R6]:[R14]])/9</f>
        <v>3.1111111111111112</v>
      </c>
      <c r="M20" s="81">
        <f>Tabla26[[#This Row],[Promedio Xi]]-$O$143</f>
        <v>0.1178451178451172</v>
      </c>
      <c r="N20" s="85">
        <f>Tabla26[[#This Row],[Xi-X̄]]^2</f>
        <v>1.388747179992956E-2</v>
      </c>
      <c r="O20" s="83"/>
      <c r="W20" s="106">
        <v>4</v>
      </c>
      <c r="X20" s="107">
        <v>3</v>
      </c>
      <c r="Y20" s="107">
        <v>3</v>
      </c>
      <c r="Z20" s="107">
        <v>3</v>
      </c>
      <c r="AA20" s="107">
        <v>3</v>
      </c>
      <c r="AB20" s="107">
        <v>3</v>
      </c>
      <c r="AC20" s="107">
        <v>3</v>
      </c>
      <c r="AD20" s="107">
        <v>3</v>
      </c>
      <c r="AE20" s="107">
        <v>3</v>
      </c>
      <c r="AF20" s="107">
        <v>4</v>
      </c>
      <c r="AG20" s="112">
        <f t="shared" si="0"/>
        <v>3.1111111111111112</v>
      </c>
      <c r="AH20" s="105">
        <f t="shared" si="1"/>
        <v>-0.57777777777777795</v>
      </c>
      <c r="AI20" s="100">
        <f t="shared" si="2"/>
        <v>0.33382716049382738</v>
      </c>
      <c r="AK20" s="96" t="s">
        <v>532</v>
      </c>
      <c r="AL20" s="98">
        <v>3</v>
      </c>
    </row>
    <row r="21" spans="2:42" ht="15.75" thickBot="1" x14ac:dyDescent="0.25">
      <c r="B21" s="69">
        <v>11</v>
      </c>
      <c r="C21" s="70">
        <v>3</v>
      </c>
      <c r="D21" s="70">
        <v>2</v>
      </c>
      <c r="E21" s="70">
        <v>3</v>
      </c>
      <c r="F21" s="70">
        <v>2</v>
      </c>
      <c r="G21" s="70">
        <v>3</v>
      </c>
      <c r="H21" s="70">
        <v>3</v>
      </c>
      <c r="I21" s="70">
        <v>2</v>
      </c>
      <c r="J21" s="70">
        <v>3</v>
      </c>
      <c r="K21" s="70">
        <v>4</v>
      </c>
      <c r="L21" s="78">
        <f>SUM(Tabla26[[#This Row],[R6]:[R14]])/9</f>
        <v>2.7777777777777777</v>
      </c>
      <c r="M21" s="81">
        <f>Tabla26[[#This Row],[Promedio Xi]]-$O$143</f>
        <v>-0.21548821548821628</v>
      </c>
      <c r="N21" s="85">
        <f>Tabla26[[#This Row],[Xi-X̄]]^2</f>
        <v>4.6435171014295937E-2</v>
      </c>
      <c r="O21" s="83"/>
      <c r="W21" s="108">
        <v>5</v>
      </c>
      <c r="X21" s="104">
        <v>4</v>
      </c>
      <c r="Y21" s="104">
        <v>4</v>
      </c>
      <c r="Z21" s="104">
        <v>4</v>
      </c>
      <c r="AA21" s="104">
        <v>3</v>
      </c>
      <c r="AB21" s="104">
        <v>3</v>
      </c>
      <c r="AC21" s="104">
        <v>4</v>
      </c>
      <c r="AD21" s="104">
        <v>3</v>
      </c>
      <c r="AE21" s="104">
        <v>3</v>
      </c>
      <c r="AF21" s="104">
        <v>4</v>
      </c>
      <c r="AG21" s="112">
        <f t="shared" si="0"/>
        <v>3.5555555555555554</v>
      </c>
      <c r="AH21" s="105">
        <f t="shared" si="1"/>
        <v>-0.13333333333333375</v>
      </c>
      <c r="AI21" s="100">
        <f t="shared" si="2"/>
        <v>1.7777777777777889E-2</v>
      </c>
    </row>
    <row r="22" spans="2:42" ht="15.75" thickBot="1" x14ac:dyDescent="0.25">
      <c r="B22" s="71">
        <v>12</v>
      </c>
      <c r="C22" s="72">
        <v>3</v>
      </c>
      <c r="D22" s="72">
        <v>3</v>
      </c>
      <c r="E22" s="72">
        <v>2</v>
      </c>
      <c r="F22" s="72">
        <v>1</v>
      </c>
      <c r="G22" s="72">
        <v>3</v>
      </c>
      <c r="H22" s="72">
        <v>3</v>
      </c>
      <c r="I22" s="72">
        <v>4</v>
      </c>
      <c r="J22" s="72">
        <v>2</v>
      </c>
      <c r="K22" s="72">
        <v>3</v>
      </c>
      <c r="L22" s="78">
        <f>SUM(Tabla26[[#This Row],[R6]:[R14]])/9</f>
        <v>2.6666666666666665</v>
      </c>
      <c r="M22" s="81">
        <f>Tabla26[[#This Row],[Promedio Xi]]-$O$143</f>
        <v>-0.32659932659932744</v>
      </c>
      <c r="N22" s="85">
        <f>Tabla26[[#This Row],[Xi-X̄]]^2</f>
        <v>0.10666712013513416</v>
      </c>
      <c r="O22" s="83"/>
      <c r="W22" s="106">
        <v>6</v>
      </c>
      <c r="X22" s="107">
        <v>3</v>
      </c>
      <c r="Y22" s="107">
        <v>3</v>
      </c>
      <c r="Z22" s="107">
        <v>3</v>
      </c>
      <c r="AA22" s="107">
        <v>3</v>
      </c>
      <c r="AB22" s="107">
        <v>3</v>
      </c>
      <c r="AC22" s="107">
        <v>3</v>
      </c>
      <c r="AD22" s="107">
        <v>3</v>
      </c>
      <c r="AE22" s="107">
        <v>3</v>
      </c>
      <c r="AF22" s="107">
        <v>3</v>
      </c>
      <c r="AG22" s="112">
        <f t="shared" si="0"/>
        <v>3</v>
      </c>
      <c r="AH22" s="105">
        <f t="shared" si="1"/>
        <v>-0.68888888888888911</v>
      </c>
      <c r="AI22" s="100">
        <f t="shared" si="2"/>
        <v>0.47456790123456821</v>
      </c>
    </row>
    <row r="23" spans="2:42" ht="15.75" thickBot="1" x14ac:dyDescent="0.25">
      <c r="B23" s="69">
        <v>13</v>
      </c>
      <c r="C23" s="70">
        <v>3</v>
      </c>
      <c r="D23" s="70">
        <v>2</v>
      </c>
      <c r="E23" s="70">
        <v>2</v>
      </c>
      <c r="F23" s="70">
        <v>1</v>
      </c>
      <c r="G23" s="70">
        <v>3</v>
      </c>
      <c r="H23" s="70">
        <v>2</v>
      </c>
      <c r="I23" s="70">
        <v>3</v>
      </c>
      <c r="J23" s="70">
        <v>1</v>
      </c>
      <c r="K23" s="70">
        <v>2</v>
      </c>
      <c r="L23" s="78">
        <f>SUM(Tabla26[[#This Row],[R6]:[R14]])/9</f>
        <v>2.1111111111111112</v>
      </c>
      <c r="M23" s="81">
        <f>Tabla26[[#This Row],[Promedio Xi]]-$O$143</f>
        <v>-0.8821548821548828</v>
      </c>
      <c r="N23" s="85">
        <f>Tabla26[[#This Row],[Xi-X̄]]^2</f>
        <v>0.77819723610969516</v>
      </c>
      <c r="O23" s="83"/>
      <c r="W23" s="108">
        <v>7</v>
      </c>
      <c r="X23" s="104">
        <v>2</v>
      </c>
      <c r="Y23" s="104">
        <v>4</v>
      </c>
      <c r="Z23" s="104">
        <v>4</v>
      </c>
      <c r="AA23" s="104">
        <v>3</v>
      </c>
      <c r="AB23" s="104">
        <v>5</v>
      </c>
      <c r="AC23" s="104">
        <v>5</v>
      </c>
      <c r="AD23" s="104">
        <v>2</v>
      </c>
      <c r="AE23" s="104">
        <v>5</v>
      </c>
      <c r="AF23" s="104">
        <v>4</v>
      </c>
      <c r="AG23" s="112">
        <f t="shared" si="0"/>
        <v>3.7777777777777777</v>
      </c>
      <c r="AH23" s="105">
        <f t="shared" si="1"/>
        <v>8.8888888888888573E-2</v>
      </c>
      <c r="AI23" s="100">
        <f t="shared" si="2"/>
        <v>7.9012345679011792E-3</v>
      </c>
      <c r="AM23" s="115" t="s">
        <v>541</v>
      </c>
      <c r="AN23" s="118" t="s">
        <v>543</v>
      </c>
      <c r="AO23" s="115" t="s">
        <v>544</v>
      </c>
      <c r="AP23" s="120" t="s">
        <v>546</v>
      </c>
    </row>
    <row r="24" spans="2:42" ht="15.75" thickBot="1" x14ac:dyDescent="0.25">
      <c r="B24" s="71">
        <v>14</v>
      </c>
      <c r="C24" s="72">
        <v>3</v>
      </c>
      <c r="D24" s="72">
        <v>2</v>
      </c>
      <c r="E24" s="72">
        <v>3</v>
      </c>
      <c r="F24" s="72">
        <v>2</v>
      </c>
      <c r="G24" s="72">
        <v>3</v>
      </c>
      <c r="H24" s="72">
        <v>3</v>
      </c>
      <c r="I24" s="72">
        <v>3</v>
      </c>
      <c r="J24" s="72">
        <v>2</v>
      </c>
      <c r="K24" s="72">
        <v>3</v>
      </c>
      <c r="L24" s="78">
        <f>SUM(Tabla26[[#This Row],[R6]:[R14]])/9</f>
        <v>2.6666666666666665</v>
      </c>
      <c r="M24" s="81">
        <f>Tabla26[[#This Row],[Promedio Xi]]-$O$143</f>
        <v>-0.32659932659932744</v>
      </c>
      <c r="N24" s="85">
        <f>Tabla26[[#This Row],[Xi-X̄]]^2</f>
        <v>0.10666712013513416</v>
      </c>
      <c r="O24" s="83"/>
      <c r="W24" s="106">
        <v>8</v>
      </c>
      <c r="X24" s="107">
        <v>4</v>
      </c>
      <c r="Y24" s="107">
        <v>2</v>
      </c>
      <c r="Z24" s="107">
        <v>2</v>
      </c>
      <c r="AA24" s="107">
        <v>3</v>
      </c>
      <c r="AB24" s="107">
        <v>4</v>
      </c>
      <c r="AC24" s="107">
        <v>3</v>
      </c>
      <c r="AD24" s="107">
        <v>4</v>
      </c>
      <c r="AE24" s="107">
        <v>3</v>
      </c>
      <c r="AF24" s="107">
        <v>4</v>
      </c>
      <c r="AG24" s="112">
        <f t="shared" si="0"/>
        <v>3.2222222222222223</v>
      </c>
      <c r="AH24" s="105">
        <f t="shared" si="1"/>
        <v>-0.46666666666666679</v>
      </c>
      <c r="AI24" s="100">
        <f t="shared" si="2"/>
        <v>0.21777777777777788</v>
      </c>
      <c r="AM24" s="116" t="s">
        <v>542</v>
      </c>
      <c r="AN24" s="117">
        <v>4.53</v>
      </c>
      <c r="AO24" s="119" t="s">
        <v>545</v>
      </c>
      <c r="AP24" s="115" t="s">
        <v>547</v>
      </c>
    </row>
    <row r="25" spans="2:42" ht="15.75" thickBot="1" x14ac:dyDescent="0.25">
      <c r="B25" s="69">
        <v>15</v>
      </c>
      <c r="C25" s="70">
        <v>4</v>
      </c>
      <c r="D25" s="70">
        <v>3</v>
      </c>
      <c r="E25" s="70">
        <v>3</v>
      </c>
      <c r="F25" s="70">
        <v>1</v>
      </c>
      <c r="G25" s="70">
        <v>4</v>
      </c>
      <c r="H25" s="70">
        <v>2</v>
      </c>
      <c r="I25" s="70">
        <v>3</v>
      </c>
      <c r="J25" s="70">
        <v>3</v>
      </c>
      <c r="K25" s="70">
        <v>4</v>
      </c>
      <c r="L25" s="78">
        <f>SUM(Tabla26[[#This Row],[R6]:[R14]])/9</f>
        <v>3</v>
      </c>
      <c r="M25" s="81">
        <f>Tabla26[[#This Row],[Promedio Xi]]-$O$143</f>
        <v>6.7340067340060372E-3</v>
      </c>
      <c r="N25" s="85">
        <f>Tabla26[[#This Row],[Xi-X̄]]^2</f>
        <v>4.5346846693638659E-5</v>
      </c>
      <c r="O25" s="83"/>
      <c r="W25" s="108">
        <v>9</v>
      </c>
      <c r="X25" s="104">
        <v>3</v>
      </c>
      <c r="Y25" s="104">
        <v>3</v>
      </c>
      <c r="Z25" s="104">
        <v>3</v>
      </c>
      <c r="AA25" s="104">
        <v>3</v>
      </c>
      <c r="AB25" s="104">
        <v>3</v>
      </c>
      <c r="AC25" s="104">
        <v>3</v>
      </c>
      <c r="AD25" s="104">
        <v>4</v>
      </c>
      <c r="AE25" s="104">
        <v>4</v>
      </c>
      <c r="AF25" s="104">
        <v>3</v>
      </c>
      <c r="AG25" s="112">
        <f t="shared" si="0"/>
        <v>3.2222222222222223</v>
      </c>
      <c r="AH25" s="105">
        <f t="shared" si="1"/>
        <v>-0.46666666666666679</v>
      </c>
      <c r="AI25" s="100">
        <f t="shared" si="2"/>
        <v>0.21777777777777788</v>
      </c>
    </row>
    <row r="26" spans="2:42" ht="15.75" thickBot="1" x14ac:dyDescent="0.25">
      <c r="B26" s="71">
        <v>16</v>
      </c>
      <c r="C26" s="72">
        <v>4</v>
      </c>
      <c r="D26" s="72">
        <v>3</v>
      </c>
      <c r="E26" s="72">
        <v>4</v>
      </c>
      <c r="F26" s="72">
        <v>3</v>
      </c>
      <c r="G26" s="72">
        <v>3</v>
      </c>
      <c r="H26" s="72">
        <v>3</v>
      </c>
      <c r="I26" s="72">
        <v>4</v>
      </c>
      <c r="J26" s="72">
        <v>3</v>
      </c>
      <c r="K26" s="72">
        <v>3</v>
      </c>
      <c r="L26" s="78">
        <f>SUM(Tabla26[[#This Row],[R6]:[R14]])/9</f>
        <v>3.3333333333333335</v>
      </c>
      <c r="M26" s="81">
        <f>Tabla26[[#This Row],[Promedio Xi]]-$O$143</f>
        <v>0.34006734006733952</v>
      </c>
      <c r="N26" s="85">
        <f>Tabla26[[#This Row],[Xi-X̄]]^2</f>
        <v>0.11564579578047554</v>
      </c>
      <c r="O26" s="83"/>
      <c r="W26" s="106">
        <v>10</v>
      </c>
      <c r="X26" s="107">
        <v>3</v>
      </c>
      <c r="Y26" s="107">
        <v>3</v>
      </c>
      <c r="Z26" s="107">
        <v>3</v>
      </c>
      <c r="AA26" s="107">
        <v>1</v>
      </c>
      <c r="AB26" s="107">
        <v>3</v>
      </c>
      <c r="AC26" s="107">
        <v>3</v>
      </c>
      <c r="AD26" s="107">
        <v>2</v>
      </c>
      <c r="AE26" s="107">
        <v>4</v>
      </c>
      <c r="AF26" s="107">
        <v>3</v>
      </c>
      <c r="AG26" s="112">
        <f t="shared" si="0"/>
        <v>2.7777777777777777</v>
      </c>
      <c r="AH26" s="105">
        <f t="shared" si="1"/>
        <v>-0.91111111111111143</v>
      </c>
      <c r="AI26" s="100">
        <f t="shared" si="2"/>
        <v>0.830123456790124</v>
      </c>
    </row>
    <row r="27" spans="2:42" ht="15.75" thickBot="1" x14ac:dyDescent="0.25">
      <c r="B27" s="69">
        <v>17</v>
      </c>
      <c r="C27" s="70">
        <v>2</v>
      </c>
      <c r="D27" s="70">
        <v>3</v>
      </c>
      <c r="E27" s="70">
        <v>2</v>
      </c>
      <c r="F27" s="70">
        <v>1</v>
      </c>
      <c r="G27" s="70">
        <v>2</v>
      </c>
      <c r="H27" s="70">
        <v>2</v>
      </c>
      <c r="I27" s="70">
        <v>2</v>
      </c>
      <c r="J27" s="70">
        <v>3</v>
      </c>
      <c r="K27" s="70">
        <v>3</v>
      </c>
      <c r="L27" s="78">
        <f>SUM(Tabla26[[#This Row],[R6]:[R14]])/9</f>
        <v>2.2222222222222223</v>
      </c>
      <c r="M27" s="81">
        <f>Tabla26[[#This Row],[Promedio Xi]]-$O$143</f>
        <v>-0.77104377104377164</v>
      </c>
      <c r="N27" s="85">
        <f>Tabla26[[#This Row],[Xi-X̄]]^2</f>
        <v>0.59450849686540019</v>
      </c>
      <c r="O27" s="83"/>
      <c r="W27" s="108">
        <v>11</v>
      </c>
      <c r="X27" s="104">
        <v>2</v>
      </c>
      <c r="Y27" s="104">
        <v>2</v>
      </c>
      <c r="Z27" s="104">
        <v>2</v>
      </c>
      <c r="AA27" s="104">
        <v>2</v>
      </c>
      <c r="AB27" s="104">
        <v>4</v>
      </c>
      <c r="AC27" s="104">
        <v>5</v>
      </c>
      <c r="AD27" s="104">
        <v>2</v>
      </c>
      <c r="AE27" s="104">
        <v>3</v>
      </c>
      <c r="AF27" s="104">
        <v>3</v>
      </c>
      <c r="AG27" s="112">
        <f t="shared" si="0"/>
        <v>2.7777777777777777</v>
      </c>
      <c r="AH27" s="105">
        <f t="shared" si="1"/>
        <v>-0.91111111111111143</v>
      </c>
      <c r="AI27" s="100">
        <f t="shared" si="2"/>
        <v>0.830123456790124</v>
      </c>
    </row>
    <row r="28" spans="2:42" ht="15.75" thickBot="1" x14ac:dyDescent="0.25">
      <c r="B28" s="71">
        <v>18</v>
      </c>
      <c r="C28" s="72">
        <v>3</v>
      </c>
      <c r="D28" s="72">
        <v>3</v>
      </c>
      <c r="E28" s="72">
        <v>3</v>
      </c>
      <c r="F28" s="72">
        <v>2</v>
      </c>
      <c r="G28" s="72">
        <v>4</v>
      </c>
      <c r="H28" s="72">
        <v>4</v>
      </c>
      <c r="I28" s="72">
        <v>2</v>
      </c>
      <c r="J28" s="72">
        <v>4</v>
      </c>
      <c r="K28" s="72">
        <v>4</v>
      </c>
      <c r="L28" s="78">
        <f>SUM(Tabla26[[#This Row],[R6]:[R14]])/9</f>
        <v>3.2222222222222223</v>
      </c>
      <c r="M28" s="81">
        <f>Tabla26[[#This Row],[Promedio Xi]]-$O$143</f>
        <v>0.22895622895622836</v>
      </c>
      <c r="N28" s="85">
        <f>Tabla26[[#This Row],[Xi-X̄]]^2</f>
        <v>5.2420954777856861E-2</v>
      </c>
      <c r="O28" s="83"/>
      <c r="W28" s="106">
        <v>12</v>
      </c>
      <c r="X28" s="107">
        <v>3</v>
      </c>
      <c r="Y28" s="107">
        <v>3</v>
      </c>
      <c r="Z28" s="107">
        <v>3</v>
      </c>
      <c r="AA28" s="107">
        <v>2</v>
      </c>
      <c r="AB28" s="107">
        <v>3</v>
      </c>
      <c r="AC28" s="107">
        <v>2</v>
      </c>
      <c r="AD28" s="107">
        <v>1</v>
      </c>
      <c r="AE28" s="107">
        <v>3</v>
      </c>
      <c r="AF28" s="107">
        <v>2</v>
      </c>
      <c r="AG28" s="112">
        <f t="shared" si="0"/>
        <v>2.4444444444444446</v>
      </c>
      <c r="AH28" s="105">
        <f t="shared" si="1"/>
        <v>-1.2444444444444445</v>
      </c>
      <c r="AI28" s="100">
        <f t="shared" si="2"/>
        <v>1.548641975308642</v>
      </c>
    </row>
    <row r="29" spans="2:42" ht="15.75" thickBot="1" x14ac:dyDescent="0.25">
      <c r="B29" s="69">
        <v>19</v>
      </c>
      <c r="C29" s="70">
        <v>2</v>
      </c>
      <c r="D29" s="70">
        <v>2</v>
      </c>
      <c r="E29" s="70">
        <v>3</v>
      </c>
      <c r="F29" s="70">
        <v>5</v>
      </c>
      <c r="G29" s="70">
        <v>3</v>
      </c>
      <c r="H29" s="70">
        <v>3</v>
      </c>
      <c r="I29" s="70">
        <v>4</v>
      </c>
      <c r="J29" s="70">
        <v>4</v>
      </c>
      <c r="K29" s="70">
        <v>4</v>
      </c>
      <c r="L29" s="78">
        <f>SUM(Tabla26[[#This Row],[R6]:[R14]])/9</f>
        <v>3.3333333333333335</v>
      </c>
      <c r="M29" s="81">
        <f>Tabla26[[#This Row],[Promedio Xi]]-$O$143</f>
        <v>0.34006734006733952</v>
      </c>
      <c r="N29" s="85">
        <f>Tabla26[[#This Row],[Xi-X̄]]^2</f>
        <v>0.11564579578047554</v>
      </c>
      <c r="O29" s="83"/>
      <c r="W29" s="108">
        <v>13</v>
      </c>
      <c r="X29" s="104">
        <v>3</v>
      </c>
      <c r="Y29" s="104">
        <v>3</v>
      </c>
      <c r="Z29" s="104">
        <v>3</v>
      </c>
      <c r="AA29" s="104">
        <v>2</v>
      </c>
      <c r="AB29" s="104">
        <v>3</v>
      </c>
      <c r="AC29" s="104">
        <v>1</v>
      </c>
      <c r="AD29" s="104">
        <v>2</v>
      </c>
      <c r="AE29" s="104">
        <v>2</v>
      </c>
      <c r="AF29" s="104">
        <v>2</v>
      </c>
      <c r="AG29" s="112">
        <f t="shared" si="0"/>
        <v>2.3333333333333335</v>
      </c>
      <c r="AH29" s="105">
        <f t="shared" si="1"/>
        <v>-1.3555555555555556</v>
      </c>
      <c r="AI29" s="100">
        <f t="shared" si="2"/>
        <v>1.837530864197531</v>
      </c>
    </row>
    <row r="30" spans="2:42" ht="15.75" thickBot="1" x14ac:dyDescent="0.25">
      <c r="B30" s="71">
        <v>20</v>
      </c>
      <c r="C30" s="72">
        <v>5</v>
      </c>
      <c r="D30" s="72">
        <v>5</v>
      </c>
      <c r="E30" s="72">
        <v>5</v>
      </c>
      <c r="F30" s="72">
        <v>5</v>
      </c>
      <c r="G30" s="72">
        <v>5</v>
      </c>
      <c r="H30" s="72">
        <v>5</v>
      </c>
      <c r="I30" s="72">
        <v>5</v>
      </c>
      <c r="J30" s="72">
        <v>5</v>
      </c>
      <c r="K30" s="72">
        <v>5</v>
      </c>
      <c r="L30" s="78">
        <f>SUM(Tabla26[[#This Row],[R6]:[R14]])/9</f>
        <v>5</v>
      </c>
      <c r="M30" s="81">
        <f>Tabla26[[#This Row],[Promedio Xi]]-$O$143</f>
        <v>2.006734006734006</v>
      </c>
      <c r="N30" s="85">
        <f>Tabla26[[#This Row],[Xi-X̄]]^2</f>
        <v>4.0269813737827178</v>
      </c>
      <c r="O30" s="83"/>
      <c r="W30" s="106">
        <v>14</v>
      </c>
      <c r="X30" s="107">
        <v>2</v>
      </c>
      <c r="Y30" s="107">
        <v>2</v>
      </c>
      <c r="Z30" s="107">
        <v>2</v>
      </c>
      <c r="AA30" s="107">
        <v>2</v>
      </c>
      <c r="AB30" s="107">
        <v>2</v>
      </c>
      <c r="AC30" s="107">
        <v>2</v>
      </c>
      <c r="AD30" s="107">
        <v>2</v>
      </c>
      <c r="AE30" s="107">
        <v>2</v>
      </c>
      <c r="AF30" s="107">
        <v>2</v>
      </c>
      <c r="AG30" s="112">
        <f t="shared" si="0"/>
        <v>2</v>
      </c>
      <c r="AH30" s="105">
        <f t="shared" si="1"/>
        <v>-1.6888888888888891</v>
      </c>
      <c r="AI30" s="100">
        <f t="shared" si="2"/>
        <v>2.8523456790123465</v>
      </c>
    </row>
    <row r="31" spans="2:42" ht="15.75" thickBot="1" x14ac:dyDescent="0.25">
      <c r="B31" s="69">
        <v>21</v>
      </c>
      <c r="C31" s="70">
        <v>3</v>
      </c>
      <c r="D31" s="70">
        <v>2</v>
      </c>
      <c r="E31" s="70">
        <v>3</v>
      </c>
      <c r="F31" s="70">
        <v>2</v>
      </c>
      <c r="G31" s="70">
        <v>4</v>
      </c>
      <c r="H31" s="70">
        <v>3</v>
      </c>
      <c r="I31" s="70">
        <v>2</v>
      </c>
      <c r="J31" s="70">
        <v>3</v>
      </c>
      <c r="K31" s="70">
        <v>3</v>
      </c>
      <c r="L31" s="78">
        <f>SUM(Tabla26[[#This Row],[R6]:[R14]])/9</f>
        <v>2.7777777777777777</v>
      </c>
      <c r="M31" s="81">
        <f>Tabla26[[#This Row],[Promedio Xi]]-$O$143</f>
        <v>-0.21548821548821628</v>
      </c>
      <c r="N31" s="85">
        <f>Tabla26[[#This Row],[Xi-X̄]]^2</f>
        <v>4.6435171014295937E-2</v>
      </c>
      <c r="O31" s="83"/>
      <c r="W31" s="108">
        <v>15</v>
      </c>
      <c r="X31" s="104">
        <v>3</v>
      </c>
      <c r="Y31" s="104">
        <v>2</v>
      </c>
      <c r="Z31" s="104">
        <v>2</v>
      </c>
      <c r="AA31" s="104">
        <v>2</v>
      </c>
      <c r="AB31" s="104">
        <v>3</v>
      </c>
      <c r="AC31" s="104">
        <v>3</v>
      </c>
      <c r="AD31" s="104">
        <v>3</v>
      </c>
      <c r="AE31" s="104">
        <v>3</v>
      </c>
      <c r="AF31" s="104">
        <v>3</v>
      </c>
      <c r="AG31" s="112">
        <f t="shared" si="0"/>
        <v>2.6666666666666665</v>
      </c>
      <c r="AH31" s="105">
        <f t="shared" si="1"/>
        <v>-1.0222222222222226</v>
      </c>
      <c r="AI31" s="100">
        <f t="shared" si="2"/>
        <v>1.0449382716049391</v>
      </c>
    </row>
    <row r="32" spans="2:42" ht="15.75" thickBot="1" x14ac:dyDescent="0.25">
      <c r="B32" s="71">
        <v>22</v>
      </c>
      <c r="C32" s="72">
        <v>4</v>
      </c>
      <c r="D32" s="72">
        <v>4</v>
      </c>
      <c r="E32" s="72">
        <v>4</v>
      </c>
      <c r="F32" s="72">
        <v>4</v>
      </c>
      <c r="G32" s="72">
        <v>4</v>
      </c>
      <c r="H32" s="72">
        <v>4</v>
      </c>
      <c r="I32" s="72">
        <v>4</v>
      </c>
      <c r="J32" s="72">
        <v>4</v>
      </c>
      <c r="K32" s="72">
        <v>4</v>
      </c>
      <c r="L32" s="78">
        <f>SUM(Tabla26[[#This Row],[R6]:[R14]])/9</f>
        <v>4</v>
      </c>
      <c r="M32" s="81">
        <f>Tabla26[[#This Row],[Promedio Xi]]-$O$143</f>
        <v>1.006734006734006</v>
      </c>
      <c r="N32" s="85">
        <f>Tabla26[[#This Row],[Xi-X̄]]^2</f>
        <v>1.0135133603147057</v>
      </c>
      <c r="O32" s="83"/>
      <c r="W32" s="106">
        <v>16</v>
      </c>
      <c r="X32" s="107">
        <v>2</v>
      </c>
      <c r="Y32" s="107">
        <v>2</v>
      </c>
      <c r="Z32" s="107">
        <v>3</v>
      </c>
      <c r="AA32" s="107">
        <v>3</v>
      </c>
      <c r="AB32" s="107">
        <v>2</v>
      </c>
      <c r="AC32" s="107">
        <v>2</v>
      </c>
      <c r="AD32" s="107">
        <v>3</v>
      </c>
      <c r="AE32" s="107">
        <v>2</v>
      </c>
      <c r="AF32" s="107">
        <v>2</v>
      </c>
      <c r="AG32" s="112">
        <f t="shared" si="0"/>
        <v>2.3333333333333335</v>
      </c>
      <c r="AH32" s="105">
        <f t="shared" si="1"/>
        <v>-1.3555555555555556</v>
      </c>
      <c r="AI32" s="100">
        <f t="shared" si="2"/>
        <v>1.837530864197531</v>
      </c>
    </row>
    <row r="33" spans="2:35" ht="15.75" thickBot="1" x14ac:dyDescent="0.25">
      <c r="B33" s="69">
        <v>23</v>
      </c>
      <c r="C33" s="70">
        <v>3</v>
      </c>
      <c r="D33" s="70">
        <v>3</v>
      </c>
      <c r="E33" s="70">
        <v>3</v>
      </c>
      <c r="F33" s="70">
        <v>2</v>
      </c>
      <c r="G33" s="70">
        <v>4</v>
      </c>
      <c r="H33" s="70">
        <v>3</v>
      </c>
      <c r="I33" s="70">
        <v>3</v>
      </c>
      <c r="J33" s="70">
        <v>4</v>
      </c>
      <c r="K33" s="70">
        <v>3</v>
      </c>
      <c r="L33" s="78">
        <f>SUM(Tabla26[[#This Row],[R6]:[R14]])/9</f>
        <v>3.1111111111111112</v>
      </c>
      <c r="M33" s="81">
        <f>Tabla26[[#This Row],[Promedio Xi]]-$O$143</f>
        <v>0.1178451178451172</v>
      </c>
      <c r="N33" s="85">
        <f>Tabla26[[#This Row],[Xi-X̄]]^2</f>
        <v>1.388747179992956E-2</v>
      </c>
      <c r="O33" s="83"/>
      <c r="W33" s="108">
        <v>17</v>
      </c>
      <c r="X33" s="104">
        <v>2</v>
      </c>
      <c r="Y33" s="104">
        <v>2</v>
      </c>
      <c r="Z33" s="104">
        <v>1</v>
      </c>
      <c r="AA33" s="104">
        <v>1</v>
      </c>
      <c r="AB33" s="104">
        <v>3</v>
      </c>
      <c r="AC33" s="104">
        <v>3</v>
      </c>
      <c r="AD33" s="104">
        <v>2</v>
      </c>
      <c r="AE33" s="104">
        <v>1</v>
      </c>
      <c r="AF33" s="104">
        <v>2</v>
      </c>
      <c r="AG33" s="112">
        <f t="shared" si="0"/>
        <v>1.8888888888888888</v>
      </c>
      <c r="AH33" s="105">
        <f t="shared" si="1"/>
        <v>-1.8000000000000003</v>
      </c>
      <c r="AI33" s="100">
        <f t="shared" si="2"/>
        <v>3.2400000000000011</v>
      </c>
    </row>
    <row r="34" spans="2:35" ht="15.75" thickBot="1" x14ac:dyDescent="0.25">
      <c r="B34" s="71">
        <v>24</v>
      </c>
      <c r="C34" s="72">
        <v>3</v>
      </c>
      <c r="D34" s="72">
        <v>4</v>
      </c>
      <c r="E34" s="72">
        <v>3</v>
      </c>
      <c r="F34" s="72">
        <v>2</v>
      </c>
      <c r="G34" s="72">
        <v>5</v>
      </c>
      <c r="H34" s="72">
        <v>4</v>
      </c>
      <c r="I34" s="72">
        <v>3</v>
      </c>
      <c r="J34" s="72">
        <v>1</v>
      </c>
      <c r="K34" s="72">
        <v>2</v>
      </c>
      <c r="L34" s="78">
        <f>SUM(Tabla26[[#This Row],[R6]:[R14]])/9</f>
        <v>3</v>
      </c>
      <c r="M34" s="81">
        <f>Tabla26[[#This Row],[Promedio Xi]]-$O$143</f>
        <v>6.7340067340060372E-3</v>
      </c>
      <c r="N34" s="85">
        <f>Tabla26[[#This Row],[Xi-X̄]]^2</f>
        <v>4.5346846693638659E-5</v>
      </c>
      <c r="O34" s="83"/>
      <c r="W34" s="106">
        <v>18</v>
      </c>
      <c r="X34" s="107">
        <v>3</v>
      </c>
      <c r="Y34" s="107">
        <v>3</v>
      </c>
      <c r="Z34" s="107">
        <v>3</v>
      </c>
      <c r="AA34" s="107">
        <v>3</v>
      </c>
      <c r="AB34" s="107">
        <v>4</v>
      </c>
      <c r="AC34" s="107">
        <v>4</v>
      </c>
      <c r="AD34" s="107">
        <v>4</v>
      </c>
      <c r="AE34" s="107">
        <v>4</v>
      </c>
      <c r="AF34" s="107">
        <v>4</v>
      </c>
      <c r="AG34" s="112">
        <f t="shared" si="0"/>
        <v>3.5555555555555554</v>
      </c>
      <c r="AH34" s="105">
        <f t="shared" si="1"/>
        <v>-0.13333333333333375</v>
      </c>
      <c r="AI34" s="100">
        <f t="shared" si="2"/>
        <v>1.7777777777777889E-2</v>
      </c>
    </row>
    <row r="35" spans="2:35" ht="15.75" thickBot="1" x14ac:dyDescent="0.25">
      <c r="B35" s="69">
        <v>25</v>
      </c>
      <c r="C35" s="70">
        <v>3</v>
      </c>
      <c r="D35" s="70">
        <v>3</v>
      </c>
      <c r="E35" s="70">
        <v>3</v>
      </c>
      <c r="F35" s="70">
        <v>3</v>
      </c>
      <c r="G35" s="70">
        <v>4</v>
      </c>
      <c r="H35" s="70">
        <v>3</v>
      </c>
      <c r="I35" s="70">
        <v>4</v>
      </c>
      <c r="J35" s="70">
        <v>3</v>
      </c>
      <c r="K35" s="70">
        <v>4</v>
      </c>
      <c r="L35" s="78">
        <f>SUM(Tabla26[[#This Row],[R6]:[R14]])/9</f>
        <v>3.3333333333333335</v>
      </c>
      <c r="M35" s="81">
        <f>Tabla26[[#This Row],[Promedio Xi]]-$O$143</f>
        <v>0.34006734006733952</v>
      </c>
      <c r="N35" s="85">
        <f>Tabla26[[#This Row],[Xi-X̄]]^2</f>
        <v>0.11564579578047554</v>
      </c>
      <c r="O35" s="83"/>
      <c r="W35" s="108">
        <v>19</v>
      </c>
      <c r="X35" s="104">
        <v>4</v>
      </c>
      <c r="Y35" s="104">
        <v>5</v>
      </c>
      <c r="Z35" s="104">
        <v>4</v>
      </c>
      <c r="AA35" s="104">
        <v>4</v>
      </c>
      <c r="AB35" s="104">
        <v>5</v>
      </c>
      <c r="AC35" s="104">
        <v>4</v>
      </c>
      <c r="AD35" s="104">
        <v>4</v>
      </c>
      <c r="AE35" s="104">
        <v>4</v>
      </c>
      <c r="AF35" s="104">
        <v>5</v>
      </c>
      <c r="AG35" s="112">
        <f t="shared" si="0"/>
        <v>4.333333333333333</v>
      </c>
      <c r="AH35" s="105">
        <f t="shared" si="1"/>
        <v>0.64444444444444393</v>
      </c>
      <c r="AI35" s="100">
        <f t="shared" si="2"/>
        <v>0.41530864197530798</v>
      </c>
    </row>
    <row r="36" spans="2:35" ht="15.75" thickBot="1" x14ac:dyDescent="0.25">
      <c r="B36" s="71">
        <v>26</v>
      </c>
      <c r="C36" s="72">
        <v>3</v>
      </c>
      <c r="D36" s="72">
        <v>3</v>
      </c>
      <c r="E36" s="72">
        <v>3</v>
      </c>
      <c r="F36" s="72">
        <v>3</v>
      </c>
      <c r="G36" s="72">
        <v>4</v>
      </c>
      <c r="H36" s="72">
        <v>4</v>
      </c>
      <c r="I36" s="72">
        <v>4</v>
      </c>
      <c r="J36" s="72">
        <v>4</v>
      </c>
      <c r="K36" s="72">
        <v>4</v>
      </c>
      <c r="L36" s="78">
        <f>SUM(Tabla26[[#This Row],[R6]:[R14]])/9</f>
        <v>3.5555555555555554</v>
      </c>
      <c r="M36" s="81">
        <f>Tabla26[[#This Row],[Promedio Xi]]-$O$143</f>
        <v>0.5622895622895614</v>
      </c>
      <c r="N36" s="85">
        <f>Tabla26[[#This Row],[Xi-X̄]]^2</f>
        <v>0.31616955185978657</v>
      </c>
      <c r="O36" s="83"/>
      <c r="W36" s="106">
        <v>20</v>
      </c>
      <c r="X36" s="107">
        <v>4</v>
      </c>
      <c r="Y36" s="107">
        <v>5</v>
      </c>
      <c r="Z36" s="107">
        <v>5</v>
      </c>
      <c r="AA36" s="107">
        <v>4</v>
      </c>
      <c r="AB36" s="107">
        <v>5</v>
      </c>
      <c r="AC36" s="107">
        <v>5</v>
      </c>
      <c r="AD36" s="107">
        <v>4</v>
      </c>
      <c r="AE36" s="107">
        <v>4</v>
      </c>
      <c r="AF36" s="107">
        <v>5</v>
      </c>
      <c r="AG36" s="112">
        <f t="shared" si="0"/>
        <v>4.5555555555555554</v>
      </c>
      <c r="AH36" s="105">
        <f t="shared" si="1"/>
        <v>0.86666666666666625</v>
      </c>
      <c r="AI36" s="100">
        <f t="shared" si="2"/>
        <v>0.7511111111111104</v>
      </c>
    </row>
    <row r="37" spans="2:35" ht="15.75" thickBot="1" x14ac:dyDescent="0.25">
      <c r="B37" s="69">
        <v>27</v>
      </c>
      <c r="C37" s="70">
        <v>3</v>
      </c>
      <c r="D37" s="70">
        <v>4</v>
      </c>
      <c r="E37" s="70">
        <v>3</v>
      </c>
      <c r="F37" s="70">
        <v>2</v>
      </c>
      <c r="G37" s="70">
        <v>3</v>
      </c>
      <c r="H37" s="70">
        <v>3</v>
      </c>
      <c r="I37" s="70">
        <v>2</v>
      </c>
      <c r="J37" s="70">
        <v>3</v>
      </c>
      <c r="K37" s="70">
        <v>3</v>
      </c>
      <c r="L37" s="78">
        <f>SUM(Tabla26[[#This Row],[R6]:[R14]])/9</f>
        <v>2.8888888888888888</v>
      </c>
      <c r="M37" s="81">
        <f>Tabla26[[#This Row],[Promedio Xi]]-$O$143</f>
        <v>-0.10437710437710512</v>
      </c>
      <c r="N37" s="85">
        <f>Tabla26[[#This Row],[Xi-X̄]]^2</f>
        <v>1.0894579918149098E-2</v>
      </c>
      <c r="O37" s="83"/>
      <c r="W37" s="108">
        <v>21</v>
      </c>
      <c r="X37" s="104">
        <v>4</v>
      </c>
      <c r="Y37" s="104">
        <v>4</v>
      </c>
      <c r="Z37" s="104">
        <v>4</v>
      </c>
      <c r="AA37" s="104">
        <v>4</v>
      </c>
      <c r="AB37" s="104">
        <v>4</v>
      </c>
      <c r="AC37" s="104">
        <v>4</v>
      </c>
      <c r="AD37" s="104">
        <v>4</v>
      </c>
      <c r="AE37" s="104">
        <v>4</v>
      </c>
      <c r="AF37" s="104">
        <v>4</v>
      </c>
      <c r="AG37" s="112">
        <f t="shared" si="0"/>
        <v>4</v>
      </c>
      <c r="AH37" s="105">
        <f t="shared" si="1"/>
        <v>0.31111111111111089</v>
      </c>
      <c r="AI37" s="100">
        <f t="shared" si="2"/>
        <v>9.6790123456789987E-2</v>
      </c>
    </row>
    <row r="38" spans="2:35" ht="15.75" thickBot="1" x14ac:dyDescent="0.25">
      <c r="B38" s="71">
        <v>28</v>
      </c>
      <c r="C38" s="72">
        <v>2</v>
      </c>
      <c r="D38" s="72">
        <v>3</v>
      </c>
      <c r="E38" s="72">
        <v>3</v>
      </c>
      <c r="F38" s="72">
        <v>3</v>
      </c>
      <c r="G38" s="72">
        <v>3</v>
      </c>
      <c r="H38" s="72">
        <v>3</v>
      </c>
      <c r="I38" s="72">
        <v>3</v>
      </c>
      <c r="J38" s="72">
        <v>3</v>
      </c>
      <c r="K38" s="72">
        <v>3</v>
      </c>
      <c r="L38" s="78">
        <f>SUM(Tabla26[[#This Row],[R6]:[R14]])/9</f>
        <v>2.8888888888888888</v>
      </c>
      <c r="M38" s="81">
        <f>Tabla26[[#This Row],[Promedio Xi]]-$O$143</f>
        <v>-0.10437710437710512</v>
      </c>
      <c r="N38" s="85">
        <f>Tabla26[[#This Row],[Xi-X̄]]^2</f>
        <v>1.0894579918149098E-2</v>
      </c>
      <c r="O38" s="83"/>
      <c r="W38" s="106">
        <v>22</v>
      </c>
      <c r="X38" s="107">
        <v>4</v>
      </c>
      <c r="Y38" s="107">
        <v>5</v>
      </c>
      <c r="Z38" s="107">
        <v>4</v>
      </c>
      <c r="AA38" s="107">
        <v>4</v>
      </c>
      <c r="AB38" s="107">
        <v>5</v>
      </c>
      <c r="AC38" s="107">
        <v>4</v>
      </c>
      <c r="AD38" s="107">
        <v>4</v>
      </c>
      <c r="AE38" s="107">
        <v>4</v>
      </c>
      <c r="AF38" s="107">
        <v>5</v>
      </c>
      <c r="AG38" s="112">
        <f t="shared" si="0"/>
        <v>4.333333333333333</v>
      </c>
      <c r="AH38" s="105">
        <f t="shared" si="1"/>
        <v>0.64444444444444393</v>
      </c>
      <c r="AI38" s="100">
        <f t="shared" si="2"/>
        <v>0.41530864197530798</v>
      </c>
    </row>
    <row r="39" spans="2:35" ht="15.75" thickBot="1" x14ac:dyDescent="0.25">
      <c r="B39" s="69">
        <v>29</v>
      </c>
      <c r="C39" s="70">
        <v>1</v>
      </c>
      <c r="D39" s="70">
        <v>3</v>
      </c>
      <c r="E39" s="70">
        <v>2</v>
      </c>
      <c r="F39" s="70">
        <v>2</v>
      </c>
      <c r="G39" s="70">
        <v>5</v>
      </c>
      <c r="H39" s="70">
        <v>4</v>
      </c>
      <c r="I39" s="70">
        <v>5</v>
      </c>
      <c r="J39" s="70">
        <v>5</v>
      </c>
      <c r="K39" s="70">
        <v>5</v>
      </c>
      <c r="L39" s="78">
        <f>SUM(Tabla26[[#This Row],[R6]:[R14]])/9</f>
        <v>3.5555555555555554</v>
      </c>
      <c r="M39" s="81">
        <f>Tabla26[[#This Row],[Promedio Xi]]-$O$143</f>
        <v>0.5622895622895614</v>
      </c>
      <c r="N39" s="85">
        <f>Tabla26[[#This Row],[Xi-X̄]]^2</f>
        <v>0.31616955185978657</v>
      </c>
      <c r="O39" s="83"/>
      <c r="W39" s="108">
        <v>23</v>
      </c>
      <c r="X39" s="104">
        <v>5</v>
      </c>
      <c r="Y39" s="104">
        <v>5</v>
      </c>
      <c r="Z39" s="104">
        <v>5</v>
      </c>
      <c r="AA39" s="104">
        <v>4</v>
      </c>
      <c r="AB39" s="104">
        <v>4</v>
      </c>
      <c r="AC39" s="104">
        <v>5</v>
      </c>
      <c r="AD39" s="104">
        <v>4</v>
      </c>
      <c r="AE39" s="104">
        <v>4</v>
      </c>
      <c r="AF39" s="104">
        <v>4</v>
      </c>
      <c r="AG39" s="112">
        <f t="shared" si="0"/>
        <v>4.4444444444444446</v>
      </c>
      <c r="AH39" s="105">
        <f t="shared" si="1"/>
        <v>0.75555555555555554</v>
      </c>
      <c r="AI39" s="100">
        <f t="shared" si="2"/>
        <v>0.57086419753086415</v>
      </c>
    </row>
    <row r="40" spans="2:35" ht="15.75" thickBot="1" x14ac:dyDescent="0.25">
      <c r="B40" s="71">
        <v>30</v>
      </c>
      <c r="C40" s="72">
        <v>4</v>
      </c>
      <c r="D40" s="72">
        <v>3</v>
      </c>
      <c r="E40" s="72">
        <v>3</v>
      </c>
      <c r="F40" s="72">
        <v>2</v>
      </c>
      <c r="G40" s="72">
        <v>4</v>
      </c>
      <c r="H40" s="72">
        <v>4</v>
      </c>
      <c r="I40" s="72">
        <v>3</v>
      </c>
      <c r="J40" s="72">
        <v>3</v>
      </c>
      <c r="K40" s="72">
        <v>4</v>
      </c>
      <c r="L40" s="78">
        <f>SUM(Tabla26[[#This Row],[R6]:[R14]])/9</f>
        <v>3.3333333333333335</v>
      </c>
      <c r="M40" s="81">
        <f>Tabla26[[#This Row],[Promedio Xi]]-$O$143</f>
        <v>0.34006734006733952</v>
      </c>
      <c r="N40" s="85">
        <f>Tabla26[[#This Row],[Xi-X̄]]^2</f>
        <v>0.11564579578047554</v>
      </c>
      <c r="O40" s="83"/>
      <c r="W40" s="106">
        <v>24</v>
      </c>
      <c r="X40" s="107">
        <v>4</v>
      </c>
      <c r="Y40" s="107">
        <v>3</v>
      </c>
      <c r="Z40" s="107">
        <v>4</v>
      </c>
      <c r="AA40" s="107">
        <v>4</v>
      </c>
      <c r="AB40" s="107">
        <v>4</v>
      </c>
      <c r="AC40" s="107">
        <v>4</v>
      </c>
      <c r="AD40" s="107">
        <v>3</v>
      </c>
      <c r="AE40" s="107">
        <v>5</v>
      </c>
      <c r="AF40" s="107">
        <v>5</v>
      </c>
      <c r="AG40" s="112">
        <f t="shared" si="0"/>
        <v>4</v>
      </c>
      <c r="AH40" s="105">
        <f t="shared" si="1"/>
        <v>0.31111111111111089</v>
      </c>
      <c r="AI40" s="100">
        <f t="shared" si="2"/>
        <v>9.6790123456789987E-2</v>
      </c>
    </row>
    <row r="41" spans="2:35" ht="15.75" thickBot="1" x14ac:dyDescent="0.25">
      <c r="B41" s="69">
        <v>31</v>
      </c>
      <c r="C41" s="70">
        <v>3</v>
      </c>
      <c r="D41" s="70">
        <v>4</v>
      </c>
      <c r="E41" s="70">
        <v>4</v>
      </c>
      <c r="F41" s="70">
        <v>3</v>
      </c>
      <c r="G41" s="70">
        <v>5</v>
      </c>
      <c r="H41" s="70">
        <v>5</v>
      </c>
      <c r="I41" s="70">
        <v>5</v>
      </c>
      <c r="J41" s="70">
        <v>4</v>
      </c>
      <c r="K41" s="70">
        <v>4</v>
      </c>
      <c r="L41" s="78">
        <f>SUM(Tabla26[[#This Row],[R6]:[R14]])/9</f>
        <v>4.1111111111111107</v>
      </c>
      <c r="M41" s="81">
        <f>Tabla26[[#This Row],[Promedio Xi]]-$O$143</f>
        <v>1.1178451178451168</v>
      </c>
      <c r="N41" s="85">
        <f>Tabla26[[#This Row],[Xi-X̄]]^2</f>
        <v>1.2495777074901631</v>
      </c>
      <c r="O41" s="83"/>
      <c r="W41" s="108">
        <v>25</v>
      </c>
      <c r="X41" s="104">
        <v>4</v>
      </c>
      <c r="Y41" s="104">
        <v>4</v>
      </c>
      <c r="Z41" s="104">
        <v>4</v>
      </c>
      <c r="AA41" s="104">
        <v>4</v>
      </c>
      <c r="AB41" s="104">
        <v>4</v>
      </c>
      <c r="AC41" s="104">
        <v>4</v>
      </c>
      <c r="AD41" s="104">
        <v>4</v>
      </c>
      <c r="AE41" s="104">
        <v>4</v>
      </c>
      <c r="AF41" s="104">
        <v>4</v>
      </c>
      <c r="AG41" s="112">
        <f t="shared" si="0"/>
        <v>4</v>
      </c>
      <c r="AH41" s="105">
        <f t="shared" si="1"/>
        <v>0.31111111111111089</v>
      </c>
      <c r="AI41" s="100">
        <f t="shared" si="2"/>
        <v>9.6790123456789987E-2</v>
      </c>
    </row>
    <row r="42" spans="2:35" ht="15.75" thickBot="1" x14ac:dyDescent="0.25">
      <c r="B42" s="71">
        <v>32</v>
      </c>
      <c r="C42" s="72">
        <v>3</v>
      </c>
      <c r="D42" s="72">
        <v>4</v>
      </c>
      <c r="E42" s="72">
        <v>3</v>
      </c>
      <c r="F42" s="72">
        <v>4</v>
      </c>
      <c r="G42" s="72">
        <v>4</v>
      </c>
      <c r="H42" s="72">
        <v>4</v>
      </c>
      <c r="I42" s="72">
        <v>3</v>
      </c>
      <c r="J42" s="72">
        <v>3</v>
      </c>
      <c r="K42" s="72">
        <v>4</v>
      </c>
      <c r="L42" s="78">
        <f>SUM(Tabla26[[#This Row],[R6]:[R14]])/9</f>
        <v>3.5555555555555554</v>
      </c>
      <c r="M42" s="81">
        <f>Tabla26[[#This Row],[Promedio Xi]]-$O$143</f>
        <v>0.5622895622895614</v>
      </c>
      <c r="N42" s="85">
        <f>Tabla26[[#This Row],[Xi-X̄]]^2</f>
        <v>0.31616955185978657</v>
      </c>
      <c r="O42" s="83"/>
      <c r="W42" s="106">
        <v>26</v>
      </c>
      <c r="X42" s="107">
        <v>5</v>
      </c>
      <c r="Y42" s="107">
        <v>5</v>
      </c>
      <c r="Z42" s="107">
        <v>5</v>
      </c>
      <c r="AA42" s="107">
        <v>5</v>
      </c>
      <c r="AB42" s="107">
        <v>5</v>
      </c>
      <c r="AC42" s="107">
        <v>5</v>
      </c>
      <c r="AD42" s="107">
        <v>5</v>
      </c>
      <c r="AE42" s="107">
        <v>5</v>
      </c>
      <c r="AF42" s="107">
        <v>5</v>
      </c>
      <c r="AG42" s="112">
        <f t="shared" si="0"/>
        <v>5</v>
      </c>
      <c r="AH42" s="105">
        <f t="shared" si="1"/>
        <v>1.3111111111111109</v>
      </c>
      <c r="AI42" s="100">
        <f t="shared" si="2"/>
        <v>1.7190123456790118</v>
      </c>
    </row>
    <row r="43" spans="2:35" ht="15.75" thickBot="1" x14ac:dyDescent="0.25">
      <c r="B43" s="69">
        <v>33</v>
      </c>
      <c r="C43" s="70">
        <v>2</v>
      </c>
      <c r="D43" s="70">
        <v>2</v>
      </c>
      <c r="E43" s="70">
        <v>2</v>
      </c>
      <c r="F43" s="70">
        <v>2</v>
      </c>
      <c r="G43" s="70">
        <v>2</v>
      </c>
      <c r="H43" s="70">
        <v>2</v>
      </c>
      <c r="I43" s="70">
        <v>2</v>
      </c>
      <c r="J43" s="70">
        <v>2</v>
      </c>
      <c r="K43" s="70">
        <v>2</v>
      </c>
      <c r="L43" s="78">
        <f>SUM(Tabla26[[#This Row],[R6]:[R14]])/9</f>
        <v>2</v>
      </c>
      <c r="M43" s="81">
        <f>Tabla26[[#This Row],[Promedio Xi]]-$O$143</f>
        <v>-0.99326599326599396</v>
      </c>
      <c r="N43" s="85">
        <f>Tabla26[[#This Row],[Xi-X̄]]^2</f>
        <v>0.98657733337868159</v>
      </c>
      <c r="O43" s="83"/>
      <c r="W43" s="108">
        <v>27</v>
      </c>
      <c r="X43" s="104">
        <v>4</v>
      </c>
      <c r="Y43" s="104">
        <v>5</v>
      </c>
      <c r="Z43" s="104">
        <v>4</v>
      </c>
      <c r="AA43" s="104">
        <v>4</v>
      </c>
      <c r="AB43" s="104">
        <v>4</v>
      </c>
      <c r="AC43" s="104">
        <v>5</v>
      </c>
      <c r="AD43" s="104">
        <v>4</v>
      </c>
      <c r="AE43" s="104">
        <v>4</v>
      </c>
      <c r="AF43" s="104">
        <v>4</v>
      </c>
      <c r="AG43" s="112">
        <f t="shared" si="0"/>
        <v>4.2222222222222223</v>
      </c>
      <c r="AH43" s="105">
        <f t="shared" si="1"/>
        <v>0.53333333333333321</v>
      </c>
      <c r="AI43" s="100">
        <f t="shared" si="2"/>
        <v>0.28444444444444433</v>
      </c>
    </row>
    <row r="44" spans="2:35" ht="15.75" thickBot="1" x14ac:dyDescent="0.25">
      <c r="B44" s="71">
        <v>34</v>
      </c>
      <c r="C44" s="72">
        <v>3</v>
      </c>
      <c r="D44" s="72">
        <v>2</v>
      </c>
      <c r="E44" s="72">
        <v>2</v>
      </c>
      <c r="F44" s="72">
        <v>2</v>
      </c>
      <c r="G44" s="72">
        <v>3</v>
      </c>
      <c r="H44" s="72">
        <v>3</v>
      </c>
      <c r="I44" s="72">
        <v>3</v>
      </c>
      <c r="J44" s="72">
        <v>2</v>
      </c>
      <c r="K44" s="72">
        <v>2</v>
      </c>
      <c r="L44" s="78">
        <f>SUM(Tabla26[[#This Row],[R6]:[R14]])/9</f>
        <v>2.4444444444444446</v>
      </c>
      <c r="M44" s="81">
        <f>Tabla26[[#This Row],[Promedio Xi]]-$O$143</f>
        <v>-0.54882154882154932</v>
      </c>
      <c r="N44" s="85">
        <f>Tabla26[[#This Row],[Xi-X̄]]^2</f>
        <v>0.30120509245088423</v>
      </c>
      <c r="O44" s="83"/>
      <c r="W44" s="106">
        <v>28</v>
      </c>
      <c r="X44" s="107">
        <v>5</v>
      </c>
      <c r="Y44" s="107">
        <v>5</v>
      </c>
      <c r="Z44" s="107">
        <v>5</v>
      </c>
      <c r="AA44" s="107">
        <v>5</v>
      </c>
      <c r="AB44" s="107">
        <v>5</v>
      </c>
      <c r="AC44" s="107">
        <v>5</v>
      </c>
      <c r="AD44" s="107">
        <v>5</v>
      </c>
      <c r="AE44" s="107">
        <v>5</v>
      </c>
      <c r="AF44" s="107">
        <v>5</v>
      </c>
      <c r="AG44" s="112">
        <f t="shared" si="0"/>
        <v>5</v>
      </c>
      <c r="AH44" s="105">
        <f t="shared" si="1"/>
        <v>1.3111111111111109</v>
      </c>
      <c r="AI44" s="100">
        <f t="shared" si="2"/>
        <v>1.7190123456790118</v>
      </c>
    </row>
    <row r="45" spans="2:35" ht="15.75" thickBot="1" x14ac:dyDescent="0.25">
      <c r="B45" s="69">
        <v>35</v>
      </c>
      <c r="C45" s="70">
        <v>3</v>
      </c>
      <c r="D45" s="70">
        <v>3</v>
      </c>
      <c r="E45" s="70">
        <v>3</v>
      </c>
      <c r="F45" s="70">
        <v>3</v>
      </c>
      <c r="G45" s="70">
        <v>3</v>
      </c>
      <c r="H45" s="70">
        <v>3</v>
      </c>
      <c r="I45" s="70">
        <v>3</v>
      </c>
      <c r="J45" s="70">
        <v>3</v>
      </c>
      <c r="K45" s="70">
        <v>3</v>
      </c>
      <c r="L45" s="78">
        <f>SUM(Tabla26[[#This Row],[R6]:[R14]])/9</f>
        <v>3</v>
      </c>
      <c r="M45" s="81">
        <f>Tabla26[[#This Row],[Promedio Xi]]-$O$143</f>
        <v>6.7340067340060372E-3</v>
      </c>
      <c r="N45" s="85">
        <f>Tabla26[[#This Row],[Xi-X̄]]^2</f>
        <v>4.5346846693638659E-5</v>
      </c>
      <c r="O45" s="83"/>
      <c r="W45" s="108">
        <v>29</v>
      </c>
      <c r="X45" s="104">
        <v>4</v>
      </c>
      <c r="Y45" s="104">
        <v>4</v>
      </c>
      <c r="Z45" s="104">
        <v>4</v>
      </c>
      <c r="AA45" s="104">
        <v>4</v>
      </c>
      <c r="AB45" s="104">
        <v>4</v>
      </c>
      <c r="AC45" s="104">
        <v>4</v>
      </c>
      <c r="AD45" s="104">
        <v>4</v>
      </c>
      <c r="AE45" s="104">
        <v>4</v>
      </c>
      <c r="AF45" s="104">
        <v>5</v>
      </c>
      <c r="AG45" s="112">
        <f t="shared" si="0"/>
        <v>4.1111111111111107</v>
      </c>
      <c r="AH45" s="105">
        <f t="shared" si="1"/>
        <v>0.42222222222222161</v>
      </c>
      <c r="AI45" s="100">
        <f t="shared" si="2"/>
        <v>0.1782716049382711</v>
      </c>
    </row>
    <row r="46" spans="2:35" ht="15.75" thickBot="1" x14ac:dyDescent="0.25">
      <c r="B46" s="71">
        <v>36</v>
      </c>
      <c r="C46" s="72">
        <v>3</v>
      </c>
      <c r="D46" s="72">
        <v>3</v>
      </c>
      <c r="E46" s="72">
        <v>3</v>
      </c>
      <c r="F46" s="72">
        <v>2</v>
      </c>
      <c r="G46" s="72">
        <v>3</v>
      </c>
      <c r="H46" s="72">
        <v>3</v>
      </c>
      <c r="I46" s="72">
        <v>3</v>
      </c>
      <c r="J46" s="72">
        <v>3</v>
      </c>
      <c r="K46" s="72">
        <v>3</v>
      </c>
      <c r="L46" s="78">
        <f>SUM(Tabla26[[#This Row],[R6]:[R14]])/9</f>
        <v>2.8888888888888888</v>
      </c>
      <c r="M46" s="81">
        <f>Tabla26[[#This Row],[Promedio Xi]]-$O$143</f>
        <v>-0.10437710437710512</v>
      </c>
      <c r="N46" s="85">
        <f>Tabla26[[#This Row],[Xi-X̄]]^2</f>
        <v>1.0894579918149098E-2</v>
      </c>
      <c r="O46" s="83"/>
      <c r="W46" s="106">
        <v>30</v>
      </c>
      <c r="X46" s="107">
        <v>4</v>
      </c>
      <c r="Y46" s="107">
        <v>4</v>
      </c>
      <c r="Z46" s="107">
        <v>4</v>
      </c>
      <c r="AA46" s="107">
        <v>4</v>
      </c>
      <c r="AB46" s="107">
        <v>4</v>
      </c>
      <c r="AC46" s="107">
        <v>4</v>
      </c>
      <c r="AD46" s="107">
        <v>4</v>
      </c>
      <c r="AE46" s="107">
        <v>4</v>
      </c>
      <c r="AF46" s="107">
        <v>5</v>
      </c>
      <c r="AG46" s="112">
        <f t="shared" si="0"/>
        <v>4.1111111111111107</v>
      </c>
      <c r="AH46" s="105">
        <f t="shared" si="1"/>
        <v>0.42222222222222161</v>
      </c>
      <c r="AI46" s="100">
        <f t="shared" si="2"/>
        <v>0.1782716049382711</v>
      </c>
    </row>
    <row r="47" spans="2:35" ht="15.75" thickBot="1" x14ac:dyDescent="0.25">
      <c r="B47" s="69">
        <v>37</v>
      </c>
      <c r="C47" s="70">
        <v>3</v>
      </c>
      <c r="D47" s="70">
        <v>3</v>
      </c>
      <c r="E47" s="70">
        <v>3</v>
      </c>
      <c r="F47" s="70">
        <v>3</v>
      </c>
      <c r="G47" s="70">
        <v>3</v>
      </c>
      <c r="H47" s="70">
        <v>3</v>
      </c>
      <c r="I47" s="70">
        <v>3</v>
      </c>
      <c r="J47" s="70">
        <v>3</v>
      </c>
      <c r="K47" s="70">
        <v>3</v>
      </c>
      <c r="L47" s="78">
        <f>SUM(Tabla26[[#This Row],[R6]:[R14]])/9</f>
        <v>3</v>
      </c>
      <c r="M47" s="81">
        <f>Tabla26[[#This Row],[Promedio Xi]]-$O$143</f>
        <v>6.7340067340060372E-3</v>
      </c>
      <c r="N47" s="85">
        <f>Tabla26[[#This Row],[Xi-X̄]]^2</f>
        <v>4.5346846693638659E-5</v>
      </c>
      <c r="O47" s="83"/>
      <c r="W47" s="108">
        <v>31</v>
      </c>
      <c r="X47" s="104">
        <v>5</v>
      </c>
      <c r="Y47" s="104">
        <v>5</v>
      </c>
      <c r="Z47" s="104">
        <v>5</v>
      </c>
      <c r="AA47" s="104">
        <v>4</v>
      </c>
      <c r="AB47" s="104">
        <v>4</v>
      </c>
      <c r="AC47" s="104">
        <v>5</v>
      </c>
      <c r="AD47" s="104">
        <v>4</v>
      </c>
      <c r="AE47" s="104">
        <v>4</v>
      </c>
      <c r="AF47" s="104">
        <v>5</v>
      </c>
      <c r="AG47" s="112">
        <f t="shared" si="0"/>
        <v>4.5555555555555554</v>
      </c>
      <c r="AH47" s="105">
        <f t="shared" si="1"/>
        <v>0.86666666666666625</v>
      </c>
      <c r="AI47" s="100">
        <f t="shared" si="2"/>
        <v>0.7511111111111104</v>
      </c>
    </row>
    <row r="48" spans="2:35" ht="15.75" thickBot="1" x14ac:dyDescent="0.25">
      <c r="B48" s="71">
        <v>38</v>
      </c>
      <c r="C48" s="72">
        <v>3</v>
      </c>
      <c r="D48" s="72">
        <v>4</v>
      </c>
      <c r="E48" s="72">
        <v>3</v>
      </c>
      <c r="F48" s="72">
        <v>4</v>
      </c>
      <c r="G48" s="72">
        <v>3</v>
      </c>
      <c r="H48" s="72">
        <v>3</v>
      </c>
      <c r="I48" s="72">
        <v>3</v>
      </c>
      <c r="J48" s="72">
        <v>3</v>
      </c>
      <c r="K48" s="72">
        <v>4</v>
      </c>
      <c r="L48" s="78">
        <f>SUM(Tabla26[[#This Row],[R6]:[R14]])/9</f>
        <v>3.3333333333333335</v>
      </c>
      <c r="M48" s="81">
        <f>Tabla26[[#This Row],[Promedio Xi]]-$O$143</f>
        <v>0.34006734006733952</v>
      </c>
      <c r="N48" s="85">
        <f>Tabla26[[#This Row],[Xi-X̄]]^2</f>
        <v>0.11564579578047554</v>
      </c>
      <c r="O48" s="83"/>
      <c r="W48" s="106">
        <v>32</v>
      </c>
      <c r="X48" s="107">
        <v>3</v>
      </c>
      <c r="Y48" s="107">
        <v>2</v>
      </c>
      <c r="Z48" s="107">
        <v>2</v>
      </c>
      <c r="AA48" s="107">
        <v>1</v>
      </c>
      <c r="AB48" s="107">
        <v>1</v>
      </c>
      <c r="AC48" s="107">
        <v>2</v>
      </c>
      <c r="AD48" s="107">
        <v>2</v>
      </c>
      <c r="AE48" s="107">
        <v>3</v>
      </c>
      <c r="AF48" s="107">
        <v>2</v>
      </c>
      <c r="AG48" s="112">
        <f t="shared" si="0"/>
        <v>2</v>
      </c>
      <c r="AH48" s="105">
        <f t="shared" si="1"/>
        <v>-1.6888888888888891</v>
      </c>
      <c r="AI48" s="100">
        <f t="shared" si="2"/>
        <v>2.8523456790123465</v>
      </c>
    </row>
    <row r="49" spans="2:39" ht="15.75" thickBot="1" x14ac:dyDescent="0.25">
      <c r="B49" s="69">
        <v>39</v>
      </c>
      <c r="C49" s="70">
        <v>3</v>
      </c>
      <c r="D49" s="70">
        <v>4</v>
      </c>
      <c r="E49" s="70">
        <v>3</v>
      </c>
      <c r="F49" s="70">
        <v>2</v>
      </c>
      <c r="G49" s="70">
        <v>3</v>
      </c>
      <c r="H49" s="70">
        <v>4</v>
      </c>
      <c r="I49" s="70">
        <v>3</v>
      </c>
      <c r="J49" s="70">
        <v>4</v>
      </c>
      <c r="K49" s="70">
        <v>3</v>
      </c>
      <c r="L49" s="78">
        <f>SUM(Tabla26[[#This Row],[R6]:[R14]])/9</f>
        <v>3.2222222222222223</v>
      </c>
      <c r="M49" s="81">
        <f>Tabla26[[#This Row],[Promedio Xi]]-$O$143</f>
        <v>0.22895622895622836</v>
      </c>
      <c r="N49" s="85">
        <f>Tabla26[[#This Row],[Xi-X̄]]^2</f>
        <v>5.2420954777856861E-2</v>
      </c>
      <c r="O49" s="83"/>
      <c r="W49" s="108">
        <v>33</v>
      </c>
      <c r="X49" s="104">
        <v>5</v>
      </c>
      <c r="Y49" s="104">
        <v>5</v>
      </c>
      <c r="Z49" s="104">
        <v>5</v>
      </c>
      <c r="AA49" s="104">
        <v>4</v>
      </c>
      <c r="AB49" s="104">
        <v>5</v>
      </c>
      <c r="AC49" s="104">
        <v>5</v>
      </c>
      <c r="AD49" s="104">
        <v>4</v>
      </c>
      <c r="AE49" s="104">
        <v>4</v>
      </c>
      <c r="AF49" s="104">
        <v>5</v>
      </c>
      <c r="AG49" s="112">
        <f t="shared" si="0"/>
        <v>4.666666666666667</v>
      </c>
      <c r="AH49" s="105">
        <f t="shared" si="1"/>
        <v>0.97777777777777786</v>
      </c>
      <c r="AI49" s="100">
        <f t="shared" si="2"/>
        <v>0.95604938271604956</v>
      </c>
    </row>
    <row r="50" spans="2:39" ht="15.75" thickBot="1" x14ac:dyDescent="0.25">
      <c r="B50" s="71">
        <v>40</v>
      </c>
      <c r="C50" s="72">
        <v>4</v>
      </c>
      <c r="D50" s="72">
        <v>4</v>
      </c>
      <c r="E50" s="72">
        <v>5</v>
      </c>
      <c r="F50" s="72">
        <v>5</v>
      </c>
      <c r="G50" s="72">
        <v>3</v>
      </c>
      <c r="H50" s="72">
        <v>5</v>
      </c>
      <c r="I50" s="72">
        <v>4</v>
      </c>
      <c r="J50" s="72">
        <v>5</v>
      </c>
      <c r="K50" s="72">
        <v>3</v>
      </c>
      <c r="L50" s="78">
        <f>SUM(Tabla26[[#This Row],[R6]:[R14]])/9</f>
        <v>4.2222222222222223</v>
      </c>
      <c r="M50" s="81">
        <f>Tabla26[[#This Row],[Promedio Xi]]-$O$143</f>
        <v>1.2289562289562284</v>
      </c>
      <c r="N50" s="85">
        <f>Tabla26[[#This Row],[Xi-X̄]]^2</f>
        <v>1.5103334126903136</v>
      </c>
      <c r="O50" s="83"/>
      <c r="W50" s="106">
        <v>34</v>
      </c>
      <c r="X50" s="107">
        <v>5</v>
      </c>
      <c r="Y50" s="107">
        <v>5</v>
      </c>
      <c r="Z50" s="107">
        <v>5</v>
      </c>
      <c r="AA50" s="107">
        <v>5</v>
      </c>
      <c r="AB50" s="107">
        <v>5</v>
      </c>
      <c r="AC50" s="107">
        <v>5</v>
      </c>
      <c r="AD50" s="107">
        <v>5</v>
      </c>
      <c r="AE50" s="107">
        <v>5</v>
      </c>
      <c r="AF50" s="107">
        <v>5</v>
      </c>
      <c r="AG50" s="112">
        <f t="shared" si="0"/>
        <v>5</v>
      </c>
      <c r="AH50" s="105">
        <f t="shared" si="1"/>
        <v>1.3111111111111109</v>
      </c>
      <c r="AI50" s="100">
        <f t="shared" si="2"/>
        <v>1.7190123456790118</v>
      </c>
    </row>
    <row r="51" spans="2:39" ht="15.75" thickBot="1" x14ac:dyDescent="0.25">
      <c r="B51" s="69">
        <v>41</v>
      </c>
      <c r="C51" s="70">
        <v>4</v>
      </c>
      <c r="D51" s="70">
        <v>3</v>
      </c>
      <c r="E51" s="70">
        <v>4</v>
      </c>
      <c r="F51" s="70">
        <v>3</v>
      </c>
      <c r="G51" s="70">
        <v>4</v>
      </c>
      <c r="H51" s="70">
        <v>4</v>
      </c>
      <c r="I51" s="70">
        <v>3</v>
      </c>
      <c r="J51" s="70">
        <v>4</v>
      </c>
      <c r="K51" s="70">
        <v>3</v>
      </c>
      <c r="L51" s="78">
        <f>SUM(Tabla26[[#This Row],[R6]:[R14]])/9</f>
        <v>3.5555555555555554</v>
      </c>
      <c r="M51" s="81">
        <f>Tabla26[[#This Row],[Promedio Xi]]-$O$143</f>
        <v>0.5622895622895614</v>
      </c>
      <c r="N51" s="85">
        <f>Tabla26[[#This Row],[Xi-X̄]]^2</f>
        <v>0.31616955185978657</v>
      </c>
      <c r="O51" s="83"/>
      <c r="W51" s="108">
        <v>35</v>
      </c>
      <c r="X51" s="104">
        <v>5</v>
      </c>
      <c r="Y51" s="104">
        <v>5</v>
      </c>
      <c r="Z51" s="104">
        <v>5</v>
      </c>
      <c r="AA51" s="104">
        <v>5</v>
      </c>
      <c r="AB51" s="104">
        <v>4</v>
      </c>
      <c r="AC51" s="104">
        <v>5</v>
      </c>
      <c r="AD51" s="104">
        <v>5</v>
      </c>
      <c r="AE51" s="104">
        <v>5</v>
      </c>
      <c r="AF51" s="104">
        <v>5</v>
      </c>
      <c r="AG51" s="112">
        <f t="shared" si="0"/>
        <v>4.8888888888888893</v>
      </c>
      <c r="AH51" s="105">
        <f t="shared" si="1"/>
        <v>1.2000000000000002</v>
      </c>
      <c r="AI51" s="100">
        <f t="shared" si="2"/>
        <v>1.4400000000000004</v>
      </c>
    </row>
    <row r="52" spans="2:39" ht="15.75" thickBot="1" x14ac:dyDescent="0.25">
      <c r="B52" s="71">
        <v>42</v>
      </c>
      <c r="C52" s="72">
        <v>3</v>
      </c>
      <c r="D52" s="72">
        <v>3</v>
      </c>
      <c r="E52" s="72">
        <v>4</v>
      </c>
      <c r="F52" s="72">
        <v>3</v>
      </c>
      <c r="G52" s="72">
        <v>3</v>
      </c>
      <c r="H52" s="72">
        <v>3</v>
      </c>
      <c r="I52" s="72">
        <v>3</v>
      </c>
      <c r="J52" s="72">
        <v>4</v>
      </c>
      <c r="K52" s="72">
        <v>3</v>
      </c>
      <c r="L52" s="78">
        <f>SUM(Tabla26[[#This Row],[R6]:[R14]])/9</f>
        <v>3.2222222222222223</v>
      </c>
      <c r="M52" s="81">
        <f>Tabla26[[#This Row],[Promedio Xi]]-$O$143</f>
        <v>0.22895622895622836</v>
      </c>
      <c r="N52" s="85">
        <f>Tabla26[[#This Row],[Xi-X̄]]^2</f>
        <v>5.2420954777856861E-2</v>
      </c>
      <c r="O52" s="83"/>
      <c r="W52" s="106">
        <v>36</v>
      </c>
      <c r="X52" s="107">
        <v>4</v>
      </c>
      <c r="Y52" s="107">
        <v>5</v>
      </c>
      <c r="Z52" s="107">
        <v>4</v>
      </c>
      <c r="AA52" s="107">
        <v>4</v>
      </c>
      <c r="AB52" s="107">
        <v>5</v>
      </c>
      <c r="AC52" s="107">
        <v>4</v>
      </c>
      <c r="AD52" s="107">
        <v>4</v>
      </c>
      <c r="AE52" s="107">
        <v>5</v>
      </c>
      <c r="AF52" s="107">
        <v>5</v>
      </c>
      <c r="AG52" s="112">
        <f t="shared" si="0"/>
        <v>4.4444444444444446</v>
      </c>
      <c r="AH52" s="105">
        <f t="shared" si="1"/>
        <v>0.75555555555555554</v>
      </c>
      <c r="AI52" s="100">
        <f t="shared" si="2"/>
        <v>0.57086419753086415</v>
      </c>
    </row>
    <row r="53" spans="2:39" ht="21" thickBot="1" x14ac:dyDescent="0.35">
      <c r="B53" s="69">
        <v>43</v>
      </c>
      <c r="C53" s="70">
        <v>2</v>
      </c>
      <c r="D53" s="70">
        <v>3</v>
      </c>
      <c r="E53" s="70">
        <v>4</v>
      </c>
      <c r="F53" s="70">
        <v>3</v>
      </c>
      <c r="G53" s="70">
        <v>5</v>
      </c>
      <c r="H53" s="70">
        <v>4</v>
      </c>
      <c r="I53" s="70">
        <v>4</v>
      </c>
      <c r="J53" s="70">
        <v>3</v>
      </c>
      <c r="K53" s="70">
        <v>4</v>
      </c>
      <c r="L53" s="78">
        <f>SUM(Tabla26[[#This Row],[R6]:[R14]])/9</f>
        <v>3.5555555555555554</v>
      </c>
      <c r="M53" s="81">
        <f>Tabla26[[#This Row],[Promedio Xi]]-$O$143</f>
        <v>0.5622895622895614</v>
      </c>
      <c r="N53" s="85">
        <f>Tabla26[[#This Row],[Xi-X̄]]^2</f>
        <v>0.31616955185978657</v>
      </c>
      <c r="O53" s="83"/>
      <c r="W53" s="108">
        <v>37</v>
      </c>
      <c r="X53" s="104">
        <v>5</v>
      </c>
      <c r="Y53" s="104">
        <v>4</v>
      </c>
      <c r="Z53" s="104">
        <v>4</v>
      </c>
      <c r="AA53" s="104">
        <v>5</v>
      </c>
      <c r="AB53" s="104">
        <v>4</v>
      </c>
      <c r="AC53" s="104">
        <v>4</v>
      </c>
      <c r="AD53" s="104">
        <v>5</v>
      </c>
      <c r="AE53" s="104">
        <v>5</v>
      </c>
      <c r="AF53" s="104">
        <v>5</v>
      </c>
      <c r="AG53" s="112">
        <f t="shared" si="0"/>
        <v>4.5555555555555554</v>
      </c>
      <c r="AH53" s="105">
        <f t="shared" si="1"/>
        <v>0.86666666666666625</v>
      </c>
      <c r="AI53" s="100">
        <f t="shared" si="2"/>
        <v>0.7511111111111104</v>
      </c>
      <c r="AK53" s="88" t="s">
        <v>471</v>
      </c>
      <c r="AM53" s="91" t="s">
        <v>527</v>
      </c>
    </row>
    <row r="54" spans="2:39" ht="15.75" thickBot="1" x14ac:dyDescent="0.25">
      <c r="B54" s="71">
        <v>44</v>
      </c>
      <c r="C54" s="72">
        <v>4</v>
      </c>
      <c r="D54" s="72">
        <v>5</v>
      </c>
      <c r="E54" s="72">
        <v>4</v>
      </c>
      <c r="F54" s="72">
        <v>3</v>
      </c>
      <c r="G54" s="72">
        <v>5</v>
      </c>
      <c r="H54" s="72">
        <v>5</v>
      </c>
      <c r="I54" s="72">
        <v>4</v>
      </c>
      <c r="J54" s="72">
        <v>5</v>
      </c>
      <c r="K54" s="72">
        <v>5</v>
      </c>
      <c r="L54" s="78">
        <f>SUM(Tabla26[[#This Row],[R6]:[R14]])/9</f>
        <v>4.4444444444444446</v>
      </c>
      <c r="M54" s="81">
        <f>Tabla26[[#This Row],[Promedio Xi]]-$O$143</f>
        <v>1.4511784511784507</v>
      </c>
      <c r="N54" s="85">
        <f>Tabla26[[#This Row],[Xi-X̄]]^2</f>
        <v>2.1059188971646869</v>
      </c>
      <c r="O54" s="83"/>
      <c r="W54" s="106">
        <v>38</v>
      </c>
      <c r="X54" s="107">
        <v>4</v>
      </c>
      <c r="Y54" s="107">
        <v>4</v>
      </c>
      <c r="Z54" s="107">
        <v>4</v>
      </c>
      <c r="AA54" s="107">
        <v>4</v>
      </c>
      <c r="AB54" s="107">
        <v>4</v>
      </c>
      <c r="AC54" s="107">
        <v>5</v>
      </c>
      <c r="AD54" s="107">
        <v>4</v>
      </c>
      <c r="AE54" s="107">
        <v>4</v>
      </c>
      <c r="AF54" s="107">
        <v>4</v>
      </c>
      <c r="AG54" s="112">
        <f t="shared" si="0"/>
        <v>4.1111111111111107</v>
      </c>
      <c r="AH54" s="105">
        <f t="shared" si="1"/>
        <v>0.42222222222222161</v>
      </c>
      <c r="AI54" s="100">
        <f t="shared" si="2"/>
        <v>0.1782716049382711</v>
      </c>
      <c r="AK54">
        <f>AI57/39</f>
        <v>0.92573599240265902</v>
      </c>
      <c r="AM54">
        <f>SQRT(AK54)</f>
        <v>0.96215175123400309</v>
      </c>
    </row>
    <row r="55" spans="2:39" ht="15.75" thickBot="1" x14ac:dyDescent="0.25">
      <c r="B55" s="69">
        <v>45</v>
      </c>
      <c r="C55" s="70">
        <v>3</v>
      </c>
      <c r="D55" s="70">
        <v>3</v>
      </c>
      <c r="E55" s="70">
        <v>2</v>
      </c>
      <c r="F55" s="70">
        <v>2</v>
      </c>
      <c r="G55" s="70">
        <v>3</v>
      </c>
      <c r="H55" s="70">
        <v>3</v>
      </c>
      <c r="I55" s="70">
        <v>2</v>
      </c>
      <c r="J55" s="70">
        <v>3</v>
      </c>
      <c r="K55" s="70">
        <v>2</v>
      </c>
      <c r="L55" s="78">
        <f>SUM(Tabla26[[#This Row],[R6]:[R14]])/9</f>
        <v>2.5555555555555554</v>
      </c>
      <c r="M55" s="81">
        <f>Tabla26[[#This Row],[Promedio Xi]]-$O$143</f>
        <v>-0.4377104377104386</v>
      </c>
      <c r="N55" s="85">
        <f>Tabla26[[#This Row],[Xi-X̄]]^2</f>
        <v>0.19159042728066375</v>
      </c>
      <c r="O55" s="83"/>
      <c r="W55" s="108">
        <v>39</v>
      </c>
      <c r="X55" s="104">
        <v>5</v>
      </c>
      <c r="Y55" s="104">
        <v>5</v>
      </c>
      <c r="Z55" s="104">
        <v>5</v>
      </c>
      <c r="AA55" s="104">
        <v>5</v>
      </c>
      <c r="AB55" s="104">
        <v>5</v>
      </c>
      <c r="AC55" s="104">
        <v>5</v>
      </c>
      <c r="AD55" s="104">
        <v>5</v>
      </c>
      <c r="AE55" s="104">
        <v>5</v>
      </c>
      <c r="AF55" s="104">
        <v>5</v>
      </c>
      <c r="AG55" s="112">
        <f t="shared" si="0"/>
        <v>5</v>
      </c>
      <c r="AH55" s="105">
        <f t="shared" si="1"/>
        <v>1.3111111111111109</v>
      </c>
      <c r="AI55" s="100">
        <f t="shared" si="2"/>
        <v>1.7190123456790118</v>
      </c>
    </row>
    <row r="56" spans="2:39" ht="15.75" thickBot="1" x14ac:dyDescent="0.25">
      <c r="B56" s="71">
        <v>46</v>
      </c>
      <c r="C56" s="72">
        <v>2</v>
      </c>
      <c r="D56" s="72">
        <v>4</v>
      </c>
      <c r="E56" s="72">
        <v>3</v>
      </c>
      <c r="F56" s="72">
        <v>3</v>
      </c>
      <c r="G56" s="72">
        <v>4</v>
      </c>
      <c r="H56" s="72">
        <v>4</v>
      </c>
      <c r="I56" s="72">
        <v>3</v>
      </c>
      <c r="J56" s="72">
        <v>4</v>
      </c>
      <c r="K56" s="72">
        <v>4</v>
      </c>
      <c r="L56" s="78">
        <f>SUM(Tabla26[[#This Row],[R6]:[R14]])/9</f>
        <v>3.4444444444444446</v>
      </c>
      <c r="M56" s="81">
        <f>Tabla26[[#This Row],[Promedio Xi]]-$O$143</f>
        <v>0.45117845117845068</v>
      </c>
      <c r="N56" s="85">
        <f>Tabla26[[#This Row],[Xi-X̄]]^2</f>
        <v>0.20356199480778561</v>
      </c>
      <c r="O56" s="83"/>
      <c r="W56" s="106">
        <v>40</v>
      </c>
      <c r="X56" s="107">
        <v>5</v>
      </c>
      <c r="Y56" s="107">
        <v>4</v>
      </c>
      <c r="Z56" s="107">
        <v>5</v>
      </c>
      <c r="AA56" s="107">
        <v>5</v>
      </c>
      <c r="AB56" s="107">
        <v>5</v>
      </c>
      <c r="AC56" s="107">
        <v>4</v>
      </c>
      <c r="AD56" s="107">
        <v>5</v>
      </c>
      <c r="AE56" s="107">
        <v>5</v>
      </c>
      <c r="AF56" s="107">
        <v>5</v>
      </c>
      <c r="AG56" s="112">
        <f t="shared" si="0"/>
        <v>4.7777777777777777</v>
      </c>
      <c r="AH56" s="105">
        <f t="shared" si="1"/>
        <v>1.0888888888888886</v>
      </c>
      <c r="AI56" s="100">
        <f t="shared" si="2"/>
        <v>1.1856790123456784</v>
      </c>
    </row>
    <row r="57" spans="2:39" ht="15.75" thickBot="1" x14ac:dyDescent="0.25">
      <c r="B57" s="69">
        <v>47</v>
      </c>
      <c r="C57" s="70">
        <v>3</v>
      </c>
      <c r="D57" s="70">
        <v>3</v>
      </c>
      <c r="E57" s="70">
        <v>3</v>
      </c>
      <c r="F57" s="70">
        <v>2</v>
      </c>
      <c r="G57" s="70">
        <v>4</v>
      </c>
      <c r="H57" s="70">
        <v>3</v>
      </c>
      <c r="I57" s="70">
        <v>3</v>
      </c>
      <c r="J57" s="70">
        <v>4</v>
      </c>
      <c r="K57" s="70">
        <v>3</v>
      </c>
      <c r="L57" s="78">
        <f>SUM(Tabla26[[#This Row],[R6]:[R14]])/9</f>
        <v>3.1111111111111112</v>
      </c>
      <c r="M57" s="81">
        <f>Tabla26[[#This Row],[Promedio Xi]]-$O$143</f>
        <v>0.1178451178451172</v>
      </c>
      <c r="N57" s="85">
        <f>Tabla26[[#This Row],[Xi-X̄]]^2</f>
        <v>1.388747179992956E-2</v>
      </c>
      <c r="O57" s="83"/>
      <c r="W57" s="101" t="s">
        <v>433</v>
      </c>
      <c r="X57" s="100"/>
      <c r="Y57" s="100"/>
      <c r="Z57" s="100"/>
      <c r="AA57" s="100"/>
      <c r="AB57" s="100"/>
      <c r="AC57" s="100"/>
      <c r="AD57" s="100"/>
      <c r="AE57" s="100"/>
      <c r="AF57" s="100"/>
      <c r="AG57" s="113">
        <f>SUM(AG17:AG56)</f>
        <v>147.55555555555557</v>
      </c>
      <c r="AH57" s="109">
        <f>SUM(AH17:AH56)</f>
        <v>-1.5099033134902129E-14</v>
      </c>
      <c r="AI57" s="100">
        <f>SUM(AI17:AI56)</f>
        <v>36.103703703703701</v>
      </c>
      <c r="AK57" s="7">
        <f>AG57/40</f>
        <v>3.6888888888888891</v>
      </c>
      <c r="AL57" s="7" t="s">
        <v>522</v>
      </c>
    </row>
    <row r="58" spans="2:39" ht="15.75" thickBot="1" x14ac:dyDescent="0.25">
      <c r="B58" s="71">
        <v>48</v>
      </c>
      <c r="C58" s="72">
        <v>2</v>
      </c>
      <c r="D58" s="72">
        <v>3</v>
      </c>
      <c r="E58" s="72">
        <v>4</v>
      </c>
      <c r="F58" s="72">
        <v>3</v>
      </c>
      <c r="G58" s="72">
        <v>4</v>
      </c>
      <c r="H58" s="72">
        <v>4</v>
      </c>
      <c r="I58" s="72">
        <v>4</v>
      </c>
      <c r="J58" s="72">
        <v>4</v>
      </c>
      <c r="K58" s="72">
        <v>4</v>
      </c>
      <c r="L58" s="78">
        <f>SUM(Tabla26[[#This Row],[R6]:[R14]])/9</f>
        <v>3.5555555555555554</v>
      </c>
      <c r="M58" s="81">
        <f>Tabla26[[#This Row],[Promedio Xi]]-$O$143</f>
        <v>0.5622895622895614</v>
      </c>
      <c r="N58" s="85">
        <f>Tabla26[[#This Row],[Xi-X̄]]^2</f>
        <v>0.31616955185978657</v>
      </c>
      <c r="O58" s="83"/>
    </row>
    <row r="59" spans="2:39" ht="15.75" thickBot="1" x14ac:dyDescent="0.25">
      <c r="B59" s="69">
        <v>49</v>
      </c>
      <c r="C59" s="70">
        <v>4</v>
      </c>
      <c r="D59" s="70">
        <v>5</v>
      </c>
      <c r="E59" s="70">
        <v>5</v>
      </c>
      <c r="F59" s="70">
        <v>4</v>
      </c>
      <c r="G59" s="70">
        <v>5</v>
      </c>
      <c r="H59" s="70">
        <v>5</v>
      </c>
      <c r="I59" s="70">
        <v>5</v>
      </c>
      <c r="J59" s="70">
        <v>5</v>
      </c>
      <c r="K59" s="70">
        <v>5</v>
      </c>
      <c r="L59" s="78">
        <f>SUM(Tabla26[[#This Row],[R6]:[R14]])/9</f>
        <v>4.7777777777777777</v>
      </c>
      <c r="M59" s="81">
        <f>Tabla26[[#This Row],[Promedio Xi]]-$O$143</f>
        <v>1.7845117845117837</v>
      </c>
      <c r="N59" s="85">
        <f>Tabla26[[#This Row],[Xi-X̄]]^2</f>
        <v>3.1844823090614307</v>
      </c>
      <c r="O59" s="83"/>
    </row>
    <row r="60" spans="2:39" ht="15.75" thickBot="1" x14ac:dyDescent="0.25">
      <c r="B60" s="71">
        <v>50</v>
      </c>
      <c r="C60" s="72">
        <v>3</v>
      </c>
      <c r="D60" s="72">
        <v>3</v>
      </c>
      <c r="E60" s="72">
        <v>3</v>
      </c>
      <c r="F60" s="72">
        <v>2</v>
      </c>
      <c r="G60" s="72">
        <v>4</v>
      </c>
      <c r="H60" s="72">
        <v>3</v>
      </c>
      <c r="I60" s="72">
        <v>3</v>
      </c>
      <c r="J60" s="72">
        <v>3</v>
      </c>
      <c r="K60" s="72">
        <v>3</v>
      </c>
      <c r="L60" s="78">
        <f>SUM(Tabla26[[#This Row],[R6]:[R14]])/9</f>
        <v>3</v>
      </c>
      <c r="M60" s="81">
        <f>Tabla26[[#This Row],[Promedio Xi]]-$O$143</f>
        <v>6.7340067340060372E-3</v>
      </c>
      <c r="N60" s="85">
        <f>Tabla26[[#This Row],[Xi-X̄]]^2</f>
        <v>4.5346846693638659E-5</v>
      </c>
      <c r="O60" s="83"/>
    </row>
    <row r="61" spans="2:39" ht="15.75" thickBot="1" x14ac:dyDescent="0.25">
      <c r="B61" s="69">
        <v>51</v>
      </c>
      <c r="C61" s="70">
        <v>3</v>
      </c>
      <c r="D61" s="70">
        <v>3</v>
      </c>
      <c r="E61" s="70">
        <v>2</v>
      </c>
      <c r="F61" s="70">
        <v>3</v>
      </c>
      <c r="G61" s="70">
        <v>4</v>
      </c>
      <c r="H61" s="70">
        <v>5</v>
      </c>
      <c r="I61" s="70">
        <v>4</v>
      </c>
      <c r="J61" s="70">
        <v>4</v>
      </c>
      <c r="K61" s="70">
        <v>4</v>
      </c>
      <c r="L61" s="78">
        <f>SUM(Tabla26[[#This Row],[R6]:[R14]])/9</f>
        <v>3.5555555555555554</v>
      </c>
      <c r="M61" s="81">
        <f>Tabla26[[#This Row],[Promedio Xi]]-$O$143</f>
        <v>0.5622895622895614</v>
      </c>
      <c r="N61" s="85">
        <f>Tabla26[[#This Row],[Xi-X̄]]^2</f>
        <v>0.31616955185978657</v>
      </c>
      <c r="O61" s="83"/>
    </row>
    <row r="62" spans="2:39" ht="15.75" thickBot="1" x14ac:dyDescent="0.25">
      <c r="B62" s="71">
        <v>52</v>
      </c>
      <c r="C62" s="72">
        <v>4</v>
      </c>
      <c r="D62" s="72">
        <v>3</v>
      </c>
      <c r="E62" s="72">
        <v>3</v>
      </c>
      <c r="F62" s="72">
        <v>4</v>
      </c>
      <c r="G62" s="72">
        <v>3</v>
      </c>
      <c r="H62" s="72">
        <v>4</v>
      </c>
      <c r="I62" s="72">
        <v>5</v>
      </c>
      <c r="J62" s="72">
        <v>4</v>
      </c>
      <c r="K62" s="72">
        <v>4</v>
      </c>
      <c r="L62" s="78">
        <f>SUM(Tabla26[[#This Row],[R6]:[R14]])/9</f>
        <v>3.7777777777777777</v>
      </c>
      <c r="M62" s="81">
        <f>Tabla26[[#This Row],[Promedio Xi]]-$O$143</f>
        <v>0.78451178451178372</v>
      </c>
      <c r="N62" s="85">
        <f>Tabla26[[#This Row],[Xi-X̄]]^2</f>
        <v>0.61545874003786338</v>
      </c>
      <c r="O62" s="83"/>
    </row>
    <row r="63" spans="2:39" ht="15.75" thickBot="1" x14ac:dyDescent="0.25">
      <c r="B63" s="69">
        <v>53</v>
      </c>
      <c r="C63" s="70">
        <v>2</v>
      </c>
      <c r="D63" s="70">
        <v>2</v>
      </c>
      <c r="E63" s="70">
        <v>2</v>
      </c>
      <c r="F63" s="70">
        <v>2</v>
      </c>
      <c r="G63" s="70">
        <v>3</v>
      </c>
      <c r="H63" s="70">
        <v>2</v>
      </c>
      <c r="I63" s="70">
        <v>3</v>
      </c>
      <c r="J63" s="70">
        <v>3</v>
      </c>
      <c r="K63" s="70">
        <v>3</v>
      </c>
      <c r="L63" s="78">
        <f>SUM(Tabla26[[#This Row],[R6]:[R14]])/9</f>
        <v>2.4444444444444446</v>
      </c>
      <c r="M63" s="81">
        <f>Tabla26[[#This Row],[Promedio Xi]]-$O$143</f>
        <v>-0.54882154882154932</v>
      </c>
      <c r="N63" s="85">
        <f>Tabla26[[#This Row],[Xi-X̄]]^2</f>
        <v>0.30120509245088423</v>
      </c>
      <c r="O63" s="83"/>
    </row>
    <row r="64" spans="2:39" ht="15.75" thickBot="1" x14ac:dyDescent="0.25">
      <c r="B64" s="71">
        <v>54</v>
      </c>
      <c r="C64" s="72">
        <v>3</v>
      </c>
      <c r="D64" s="72">
        <v>3</v>
      </c>
      <c r="E64" s="72">
        <v>2</v>
      </c>
      <c r="F64" s="72">
        <v>2</v>
      </c>
      <c r="G64" s="72">
        <v>2</v>
      </c>
      <c r="H64" s="72">
        <v>3</v>
      </c>
      <c r="I64" s="72">
        <v>3</v>
      </c>
      <c r="J64" s="72">
        <v>4</v>
      </c>
      <c r="K64" s="72">
        <v>4</v>
      </c>
      <c r="L64" s="78">
        <f>SUM(Tabla26[[#This Row],[R6]:[R14]])/9</f>
        <v>2.8888888888888888</v>
      </c>
      <c r="M64" s="81">
        <f>Tabla26[[#This Row],[Promedio Xi]]-$O$143</f>
        <v>-0.10437710437710512</v>
      </c>
      <c r="N64" s="85">
        <f>Tabla26[[#This Row],[Xi-X̄]]^2</f>
        <v>1.0894579918149098E-2</v>
      </c>
      <c r="O64" s="83"/>
    </row>
    <row r="65" spans="2:15" ht="15.75" thickBot="1" x14ac:dyDescent="0.25">
      <c r="B65" s="69">
        <v>55</v>
      </c>
      <c r="C65" s="70">
        <v>2</v>
      </c>
      <c r="D65" s="70">
        <v>2</v>
      </c>
      <c r="E65" s="70">
        <v>2</v>
      </c>
      <c r="F65" s="70">
        <v>2</v>
      </c>
      <c r="G65" s="70">
        <v>2</v>
      </c>
      <c r="H65" s="70">
        <v>3</v>
      </c>
      <c r="I65" s="70">
        <v>3</v>
      </c>
      <c r="J65" s="70">
        <v>3</v>
      </c>
      <c r="K65" s="70">
        <v>3</v>
      </c>
      <c r="L65" s="78">
        <f>SUM(Tabla26[[#This Row],[R6]:[R14]])/9</f>
        <v>2.4444444444444446</v>
      </c>
      <c r="M65" s="81">
        <f>Tabla26[[#This Row],[Promedio Xi]]-$O$143</f>
        <v>-0.54882154882154932</v>
      </c>
      <c r="N65" s="85">
        <f>Tabla26[[#This Row],[Xi-X̄]]^2</f>
        <v>0.30120509245088423</v>
      </c>
      <c r="O65" s="83"/>
    </row>
    <row r="66" spans="2:15" ht="15.75" thickBot="1" x14ac:dyDescent="0.25">
      <c r="B66" s="71">
        <v>56</v>
      </c>
      <c r="C66" s="72">
        <v>3</v>
      </c>
      <c r="D66" s="72">
        <v>3</v>
      </c>
      <c r="E66" s="72">
        <v>3</v>
      </c>
      <c r="F66" s="72">
        <v>3</v>
      </c>
      <c r="G66" s="72">
        <v>4</v>
      </c>
      <c r="H66" s="72">
        <v>4</v>
      </c>
      <c r="I66" s="72">
        <v>4</v>
      </c>
      <c r="J66" s="72">
        <v>4</v>
      </c>
      <c r="K66" s="72">
        <v>4</v>
      </c>
      <c r="L66" s="78">
        <f>SUM(Tabla26[[#This Row],[R6]:[R14]])/9</f>
        <v>3.5555555555555554</v>
      </c>
      <c r="M66" s="81">
        <f>Tabla26[[#This Row],[Promedio Xi]]-$O$143</f>
        <v>0.5622895622895614</v>
      </c>
      <c r="N66" s="85">
        <f>Tabla26[[#This Row],[Xi-X̄]]^2</f>
        <v>0.31616955185978657</v>
      </c>
      <c r="O66" s="83"/>
    </row>
    <row r="67" spans="2:15" ht="15.75" thickBot="1" x14ac:dyDescent="0.25">
      <c r="B67" s="69">
        <v>57</v>
      </c>
      <c r="C67" s="70">
        <v>3</v>
      </c>
      <c r="D67" s="70">
        <v>3</v>
      </c>
      <c r="E67" s="70">
        <v>3</v>
      </c>
      <c r="F67" s="70">
        <v>3</v>
      </c>
      <c r="G67" s="70">
        <v>3</v>
      </c>
      <c r="H67" s="70">
        <v>3</v>
      </c>
      <c r="I67" s="70">
        <v>4</v>
      </c>
      <c r="J67" s="70">
        <v>4</v>
      </c>
      <c r="K67" s="70">
        <v>4</v>
      </c>
      <c r="L67" s="78">
        <f>SUM(Tabla26[[#This Row],[R6]:[R14]])/9</f>
        <v>3.3333333333333335</v>
      </c>
      <c r="M67" s="81">
        <f>Tabla26[[#This Row],[Promedio Xi]]-$O$143</f>
        <v>0.34006734006733952</v>
      </c>
      <c r="N67" s="85">
        <f>Tabla26[[#This Row],[Xi-X̄]]^2</f>
        <v>0.11564579578047554</v>
      </c>
      <c r="O67" s="83"/>
    </row>
    <row r="68" spans="2:15" ht="15.75" thickBot="1" x14ac:dyDescent="0.25">
      <c r="B68" s="71">
        <v>58</v>
      </c>
      <c r="C68" s="72">
        <v>4</v>
      </c>
      <c r="D68" s="72">
        <v>3</v>
      </c>
      <c r="E68" s="72">
        <v>4</v>
      </c>
      <c r="F68" s="72">
        <v>4</v>
      </c>
      <c r="G68" s="72">
        <v>4</v>
      </c>
      <c r="H68" s="72">
        <v>3</v>
      </c>
      <c r="I68" s="72">
        <v>4</v>
      </c>
      <c r="J68" s="72">
        <v>3</v>
      </c>
      <c r="K68" s="72">
        <v>4</v>
      </c>
      <c r="L68" s="78">
        <f>SUM(Tabla26[[#This Row],[R6]:[R14]])/9</f>
        <v>3.6666666666666665</v>
      </c>
      <c r="M68" s="81">
        <f>Tabla26[[#This Row],[Promedio Xi]]-$O$143</f>
        <v>0.67340067340067256</v>
      </c>
      <c r="N68" s="85">
        <f>Tabla26[[#This Row],[Xi-X̄]]^2</f>
        <v>0.45346846693647924</v>
      </c>
      <c r="O68" s="83"/>
    </row>
    <row r="69" spans="2:15" ht="15.75" thickBot="1" x14ac:dyDescent="0.25">
      <c r="B69" s="69">
        <v>59</v>
      </c>
      <c r="C69" s="70">
        <v>2</v>
      </c>
      <c r="D69" s="70">
        <v>3</v>
      </c>
      <c r="E69" s="70">
        <v>3</v>
      </c>
      <c r="F69" s="70">
        <v>5</v>
      </c>
      <c r="G69" s="70">
        <v>3</v>
      </c>
      <c r="H69" s="70">
        <v>4</v>
      </c>
      <c r="I69" s="70">
        <v>4</v>
      </c>
      <c r="J69" s="70">
        <v>3</v>
      </c>
      <c r="K69" s="70">
        <v>4</v>
      </c>
      <c r="L69" s="78">
        <f>SUM(Tabla26[[#This Row],[R6]:[R14]])/9</f>
        <v>3.4444444444444446</v>
      </c>
      <c r="M69" s="81">
        <f>Tabla26[[#This Row],[Promedio Xi]]-$O$143</f>
        <v>0.45117845117845068</v>
      </c>
      <c r="N69" s="85">
        <f>Tabla26[[#This Row],[Xi-X̄]]^2</f>
        <v>0.20356199480778561</v>
      </c>
      <c r="O69" s="83"/>
    </row>
    <row r="70" spans="2:15" ht="15.75" thickBot="1" x14ac:dyDescent="0.25">
      <c r="B70" s="71">
        <v>60</v>
      </c>
      <c r="C70" s="72">
        <v>3</v>
      </c>
      <c r="D70" s="72">
        <v>3</v>
      </c>
      <c r="E70" s="72">
        <v>1</v>
      </c>
      <c r="F70" s="72">
        <v>1</v>
      </c>
      <c r="G70" s="72">
        <v>3</v>
      </c>
      <c r="H70" s="72">
        <v>3</v>
      </c>
      <c r="I70" s="72">
        <v>3</v>
      </c>
      <c r="J70" s="72">
        <v>3</v>
      </c>
      <c r="K70" s="72">
        <v>3</v>
      </c>
      <c r="L70" s="78">
        <f>SUM(Tabla26[[#This Row],[R6]:[R14]])/9</f>
        <v>2.5555555555555554</v>
      </c>
      <c r="M70" s="81">
        <f>Tabla26[[#This Row],[Promedio Xi]]-$O$143</f>
        <v>-0.4377104377104386</v>
      </c>
      <c r="N70" s="85">
        <f>Tabla26[[#This Row],[Xi-X̄]]^2</f>
        <v>0.19159042728066375</v>
      </c>
      <c r="O70" s="83"/>
    </row>
    <row r="71" spans="2:15" ht="15.75" thickBot="1" x14ac:dyDescent="0.25">
      <c r="B71" s="69">
        <v>61</v>
      </c>
      <c r="C71" s="70">
        <v>1</v>
      </c>
      <c r="D71" s="70">
        <v>4</v>
      </c>
      <c r="E71" s="70">
        <v>2</v>
      </c>
      <c r="F71" s="70">
        <v>3</v>
      </c>
      <c r="G71" s="70">
        <v>5</v>
      </c>
      <c r="H71" s="70">
        <v>4</v>
      </c>
      <c r="I71" s="70">
        <v>3</v>
      </c>
      <c r="J71" s="70">
        <v>4</v>
      </c>
      <c r="K71" s="70">
        <v>5</v>
      </c>
      <c r="L71" s="78">
        <f>SUM(Tabla26[[#This Row],[R6]:[R14]])/9</f>
        <v>3.4444444444444446</v>
      </c>
      <c r="M71" s="81">
        <f>Tabla26[[#This Row],[Promedio Xi]]-$O$143</f>
        <v>0.45117845117845068</v>
      </c>
      <c r="N71" s="85">
        <f>Tabla26[[#This Row],[Xi-X̄]]^2</f>
        <v>0.20356199480778561</v>
      </c>
      <c r="O71" s="83"/>
    </row>
    <row r="72" spans="2:15" ht="15.75" thickBot="1" x14ac:dyDescent="0.25">
      <c r="B72" s="71">
        <v>62</v>
      </c>
      <c r="C72" s="72">
        <v>3</v>
      </c>
      <c r="D72" s="72">
        <v>2</v>
      </c>
      <c r="E72" s="72">
        <v>3</v>
      </c>
      <c r="F72" s="72">
        <v>2</v>
      </c>
      <c r="G72" s="72">
        <v>3</v>
      </c>
      <c r="H72" s="72">
        <v>4</v>
      </c>
      <c r="I72" s="72">
        <v>3</v>
      </c>
      <c r="J72" s="72">
        <v>5</v>
      </c>
      <c r="K72" s="72">
        <v>3</v>
      </c>
      <c r="L72" s="78">
        <f>SUM(Tabla26[[#This Row],[R6]:[R14]])/9</f>
        <v>3.1111111111111112</v>
      </c>
      <c r="M72" s="81">
        <f>Tabla26[[#This Row],[Promedio Xi]]-$O$143</f>
        <v>0.1178451178451172</v>
      </c>
      <c r="N72" s="85">
        <f>Tabla26[[#This Row],[Xi-X̄]]^2</f>
        <v>1.388747179992956E-2</v>
      </c>
      <c r="O72" s="83"/>
    </row>
    <row r="73" spans="2:15" ht="15.75" thickBot="1" x14ac:dyDescent="0.25">
      <c r="B73" s="69">
        <v>63</v>
      </c>
      <c r="C73" s="70">
        <v>3</v>
      </c>
      <c r="D73" s="70">
        <v>3</v>
      </c>
      <c r="E73" s="70">
        <v>3</v>
      </c>
      <c r="F73" s="70">
        <v>3</v>
      </c>
      <c r="G73" s="70">
        <v>4</v>
      </c>
      <c r="H73" s="70">
        <v>4</v>
      </c>
      <c r="I73" s="70">
        <v>3</v>
      </c>
      <c r="J73" s="70">
        <v>2</v>
      </c>
      <c r="K73" s="70">
        <v>4</v>
      </c>
      <c r="L73" s="78">
        <f>SUM(Tabla26[[#This Row],[R6]:[R14]])/9</f>
        <v>3.2222222222222223</v>
      </c>
      <c r="M73" s="81">
        <f>Tabla26[[#This Row],[Promedio Xi]]-$O$143</f>
        <v>0.22895622895622836</v>
      </c>
      <c r="N73" s="85">
        <f>Tabla26[[#This Row],[Xi-X̄]]^2</f>
        <v>5.2420954777856861E-2</v>
      </c>
      <c r="O73" s="83"/>
    </row>
    <row r="74" spans="2:15" ht="15.75" thickBot="1" x14ac:dyDescent="0.25">
      <c r="B74" s="71">
        <v>64</v>
      </c>
      <c r="C74" s="72">
        <v>3</v>
      </c>
      <c r="D74" s="72">
        <v>2</v>
      </c>
      <c r="E74" s="72">
        <v>2</v>
      </c>
      <c r="F74" s="72">
        <v>1</v>
      </c>
      <c r="G74" s="72">
        <v>3</v>
      </c>
      <c r="H74" s="72">
        <v>1</v>
      </c>
      <c r="I74" s="72">
        <v>2</v>
      </c>
      <c r="J74" s="72">
        <v>2</v>
      </c>
      <c r="K74" s="72">
        <v>2</v>
      </c>
      <c r="L74" s="78">
        <f>SUM(Tabla26[[#This Row],[R6]:[R14]])/9</f>
        <v>2</v>
      </c>
      <c r="M74" s="81">
        <f>Tabla26[[#This Row],[Promedio Xi]]-$O$143</f>
        <v>-0.99326599326599396</v>
      </c>
      <c r="N74" s="85">
        <f>Tabla26[[#This Row],[Xi-X̄]]^2</f>
        <v>0.98657733337868159</v>
      </c>
      <c r="O74" s="83"/>
    </row>
    <row r="75" spans="2:15" ht="15.75" thickBot="1" x14ac:dyDescent="0.25">
      <c r="B75" s="69">
        <v>65</v>
      </c>
      <c r="C75" s="70">
        <v>3</v>
      </c>
      <c r="D75" s="70">
        <v>4</v>
      </c>
      <c r="E75" s="70">
        <v>3</v>
      </c>
      <c r="F75" s="70">
        <v>3</v>
      </c>
      <c r="G75" s="70">
        <v>4</v>
      </c>
      <c r="H75" s="70">
        <v>3</v>
      </c>
      <c r="I75" s="70">
        <v>4</v>
      </c>
      <c r="J75" s="70">
        <v>3</v>
      </c>
      <c r="K75" s="70">
        <v>4</v>
      </c>
      <c r="L75" s="78">
        <f>SUM(Tabla26[[#This Row],[R6]:[R14]])/9</f>
        <v>3.4444444444444446</v>
      </c>
      <c r="M75" s="81">
        <f>Tabla26[[#This Row],[Promedio Xi]]-$O$143</f>
        <v>0.45117845117845068</v>
      </c>
      <c r="N75" s="85">
        <f>Tabla26[[#This Row],[Xi-X̄]]^2</f>
        <v>0.20356199480778561</v>
      </c>
      <c r="O75" s="83"/>
    </row>
    <row r="76" spans="2:15" ht="15.75" thickBot="1" x14ac:dyDescent="0.25">
      <c r="B76" s="71">
        <v>66</v>
      </c>
      <c r="C76" s="72">
        <v>3</v>
      </c>
      <c r="D76" s="72">
        <v>2</v>
      </c>
      <c r="E76" s="72">
        <v>3</v>
      </c>
      <c r="F76" s="72">
        <v>3</v>
      </c>
      <c r="G76" s="72">
        <v>4</v>
      </c>
      <c r="H76" s="72">
        <v>3</v>
      </c>
      <c r="I76" s="72">
        <v>3</v>
      </c>
      <c r="J76" s="72">
        <v>3</v>
      </c>
      <c r="K76" s="72">
        <v>4</v>
      </c>
      <c r="L76" s="78">
        <f>SUM(Tabla26[[#This Row],[R6]:[R14]])/9</f>
        <v>3.1111111111111112</v>
      </c>
      <c r="M76" s="81">
        <f>Tabla26[[#This Row],[Promedio Xi]]-$O$143</f>
        <v>0.1178451178451172</v>
      </c>
      <c r="N76" s="85">
        <f>Tabla26[[#This Row],[Xi-X̄]]^2</f>
        <v>1.388747179992956E-2</v>
      </c>
      <c r="O76" s="83"/>
    </row>
    <row r="77" spans="2:15" ht="15.75" thickBot="1" x14ac:dyDescent="0.25">
      <c r="B77" s="69">
        <v>67</v>
      </c>
      <c r="C77" s="70">
        <v>3</v>
      </c>
      <c r="D77" s="70">
        <v>3</v>
      </c>
      <c r="E77" s="70">
        <v>3</v>
      </c>
      <c r="F77" s="70">
        <v>3</v>
      </c>
      <c r="G77" s="70">
        <v>4</v>
      </c>
      <c r="H77" s="70">
        <v>4</v>
      </c>
      <c r="I77" s="70">
        <v>3</v>
      </c>
      <c r="J77" s="70">
        <v>4</v>
      </c>
      <c r="K77" s="70">
        <v>4</v>
      </c>
      <c r="L77" s="78">
        <f>SUM(Tabla26[[#This Row],[R6]:[R14]])/9</f>
        <v>3.4444444444444446</v>
      </c>
      <c r="M77" s="81">
        <f>Tabla26[[#This Row],[Promedio Xi]]-$O$143</f>
        <v>0.45117845117845068</v>
      </c>
      <c r="N77" s="85">
        <f>Tabla26[[#This Row],[Xi-X̄]]^2</f>
        <v>0.20356199480778561</v>
      </c>
      <c r="O77" s="83"/>
    </row>
    <row r="78" spans="2:15" ht="15.75" thickBot="1" x14ac:dyDescent="0.25">
      <c r="B78" s="71">
        <v>68</v>
      </c>
      <c r="C78" s="72">
        <v>3</v>
      </c>
      <c r="D78" s="72">
        <v>3</v>
      </c>
      <c r="E78" s="72">
        <v>3</v>
      </c>
      <c r="F78" s="72">
        <v>2</v>
      </c>
      <c r="G78" s="72">
        <v>4</v>
      </c>
      <c r="H78" s="72">
        <v>3</v>
      </c>
      <c r="I78" s="72">
        <v>3</v>
      </c>
      <c r="J78" s="72">
        <v>4</v>
      </c>
      <c r="K78" s="72">
        <v>4</v>
      </c>
      <c r="L78" s="78">
        <f>SUM(Tabla26[[#This Row],[R6]:[R14]])/9</f>
        <v>3.2222222222222223</v>
      </c>
      <c r="M78" s="81">
        <f>Tabla26[[#This Row],[Promedio Xi]]-$O$143</f>
        <v>0.22895622895622836</v>
      </c>
      <c r="N78" s="85">
        <f>Tabla26[[#This Row],[Xi-X̄]]^2</f>
        <v>5.2420954777856861E-2</v>
      </c>
      <c r="O78" s="83"/>
    </row>
    <row r="79" spans="2:15" ht="15.75" thickBot="1" x14ac:dyDescent="0.25">
      <c r="B79" s="69">
        <v>69</v>
      </c>
      <c r="C79" s="70">
        <v>2</v>
      </c>
      <c r="D79" s="70">
        <v>2</v>
      </c>
      <c r="E79" s="70">
        <v>3</v>
      </c>
      <c r="F79" s="70">
        <v>1</v>
      </c>
      <c r="G79" s="70">
        <v>2</v>
      </c>
      <c r="H79" s="70">
        <v>3</v>
      </c>
      <c r="I79" s="70">
        <v>3</v>
      </c>
      <c r="J79" s="70">
        <v>2</v>
      </c>
      <c r="K79" s="70">
        <v>3</v>
      </c>
      <c r="L79" s="78">
        <f>SUM(Tabla26[[#This Row],[R6]:[R14]])/9</f>
        <v>2.3333333333333335</v>
      </c>
      <c r="M79" s="81">
        <f>Tabla26[[#This Row],[Promedio Xi]]-$O$143</f>
        <v>-0.65993265993266048</v>
      </c>
      <c r="N79" s="85">
        <f>Tabla26[[#This Row],[Xi-X̄]]^2</f>
        <v>0.43551111564579653</v>
      </c>
      <c r="O79" s="83"/>
    </row>
    <row r="80" spans="2:15" ht="15.75" thickBot="1" x14ac:dyDescent="0.25">
      <c r="B80" s="71">
        <v>70</v>
      </c>
      <c r="C80" s="72">
        <v>3</v>
      </c>
      <c r="D80" s="72">
        <v>3</v>
      </c>
      <c r="E80" s="72">
        <v>3</v>
      </c>
      <c r="F80" s="72">
        <v>2</v>
      </c>
      <c r="G80" s="72">
        <v>2</v>
      </c>
      <c r="H80" s="72">
        <v>2</v>
      </c>
      <c r="I80" s="72">
        <v>2</v>
      </c>
      <c r="J80" s="72">
        <v>3</v>
      </c>
      <c r="K80" s="72">
        <v>3</v>
      </c>
      <c r="L80" s="78">
        <f>SUM(Tabla26[[#This Row],[R6]:[R14]])/9</f>
        <v>2.5555555555555554</v>
      </c>
      <c r="M80" s="81">
        <f>Tabla26[[#This Row],[Promedio Xi]]-$O$143</f>
        <v>-0.4377104377104386</v>
      </c>
      <c r="N80" s="85">
        <f>Tabla26[[#This Row],[Xi-X̄]]^2</f>
        <v>0.19159042728066375</v>
      </c>
      <c r="O80" s="83"/>
    </row>
    <row r="81" spans="2:15" ht="15.75" thickBot="1" x14ac:dyDescent="0.25">
      <c r="B81" s="69">
        <v>71</v>
      </c>
      <c r="C81" s="70">
        <v>4</v>
      </c>
      <c r="D81" s="70">
        <v>3</v>
      </c>
      <c r="E81" s="70">
        <v>3</v>
      </c>
      <c r="F81" s="70">
        <v>5</v>
      </c>
      <c r="G81" s="70">
        <v>5</v>
      </c>
      <c r="H81" s="70">
        <v>2</v>
      </c>
      <c r="I81" s="70">
        <v>3</v>
      </c>
      <c r="J81" s="70">
        <v>4</v>
      </c>
      <c r="K81" s="70">
        <v>5</v>
      </c>
      <c r="L81" s="78">
        <f>SUM(Tabla26[[#This Row],[R6]:[R14]])/9</f>
        <v>3.7777777777777777</v>
      </c>
      <c r="M81" s="81">
        <f>Tabla26[[#This Row],[Promedio Xi]]-$O$143</f>
        <v>0.78451178451178372</v>
      </c>
      <c r="N81" s="85">
        <f>Tabla26[[#This Row],[Xi-X̄]]^2</f>
        <v>0.61545874003786338</v>
      </c>
      <c r="O81" s="83"/>
    </row>
    <row r="82" spans="2:15" ht="15.75" thickBot="1" x14ac:dyDescent="0.25">
      <c r="B82" s="71">
        <v>72</v>
      </c>
      <c r="C82" s="72">
        <v>3</v>
      </c>
      <c r="D82" s="72">
        <v>4</v>
      </c>
      <c r="E82" s="72">
        <v>4</v>
      </c>
      <c r="F82" s="72">
        <v>3</v>
      </c>
      <c r="G82" s="72">
        <v>5</v>
      </c>
      <c r="H82" s="72">
        <v>4</v>
      </c>
      <c r="I82" s="72">
        <v>4</v>
      </c>
      <c r="J82" s="72">
        <v>5</v>
      </c>
      <c r="K82" s="72">
        <v>4</v>
      </c>
      <c r="L82" s="78">
        <f>SUM(Tabla26[[#This Row],[R6]:[R14]])/9</f>
        <v>4</v>
      </c>
      <c r="M82" s="81">
        <f>Tabla26[[#This Row],[Promedio Xi]]-$O$143</f>
        <v>1.006734006734006</v>
      </c>
      <c r="N82" s="85">
        <f>Tabla26[[#This Row],[Xi-X̄]]^2</f>
        <v>1.0135133603147057</v>
      </c>
      <c r="O82" s="83"/>
    </row>
    <row r="83" spans="2:15" ht="15.75" thickBot="1" x14ac:dyDescent="0.25">
      <c r="B83" s="69">
        <v>73</v>
      </c>
      <c r="C83" s="70">
        <v>3</v>
      </c>
      <c r="D83" s="70">
        <v>4</v>
      </c>
      <c r="E83" s="70">
        <v>3</v>
      </c>
      <c r="F83" s="70">
        <v>4</v>
      </c>
      <c r="G83" s="70">
        <v>3</v>
      </c>
      <c r="H83" s="70">
        <v>2</v>
      </c>
      <c r="I83" s="70">
        <v>3</v>
      </c>
      <c r="J83" s="70">
        <v>3</v>
      </c>
      <c r="K83" s="70">
        <v>3</v>
      </c>
      <c r="L83" s="78">
        <f>SUM(Tabla26[[#This Row],[R6]:[R14]])/9</f>
        <v>3.1111111111111112</v>
      </c>
      <c r="M83" s="81">
        <f>Tabla26[[#This Row],[Promedio Xi]]-$O$143</f>
        <v>0.1178451178451172</v>
      </c>
      <c r="N83" s="85">
        <f>Tabla26[[#This Row],[Xi-X̄]]^2</f>
        <v>1.388747179992956E-2</v>
      </c>
      <c r="O83" s="83"/>
    </row>
    <row r="84" spans="2:15" ht="15.75" thickBot="1" x14ac:dyDescent="0.25">
      <c r="B84" s="71">
        <v>74</v>
      </c>
      <c r="C84" s="72">
        <v>2</v>
      </c>
      <c r="D84" s="72">
        <v>2</v>
      </c>
      <c r="E84" s="72">
        <v>2</v>
      </c>
      <c r="F84" s="72">
        <v>2</v>
      </c>
      <c r="G84" s="72">
        <v>3</v>
      </c>
      <c r="H84" s="72">
        <v>2</v>
      </c>
      <c r="I84" s="72">
        <v>2</v>
      </c>
      <c r="J84" s="72">
        <v>2</v>
      </c>
      <c r="K84" s="72">
        <v>2</v>
      </c>
      <c r="L84" s="78">
        <f>SUM(Tabla26[[#This Row],[R6]:[R14]])/9</f>
        <v>2.1111111111111112</v>
      </c>
      <c r="M84" s="81">
        <f>Tabla26[[#This Row],[Promedio Xi]]-$O$143</f>
        <v>-0.8821548821548828</v>
      </c>
      <c r="N84" s="85">
        <f>Tabla26[[#This Row],[Xi-X̄]]^2</f>
        <v>0.77819723610969516</v>
      </c>
      <c r="O84" s="83"/>
    </row>
    <row r="85" spans="2:15" ht="15.75" thickBot="1" x14ac:dyDescent="0.25">
      <c r="B85" s="69">
        <v>75</v>
      </c>
      <c r="C85" s="70">
        <v>3</v>
      </c>
      <c r="D85" s="70">
        <v>4</v>
      </c>
      <c r="E85" s="70">
        <v>3</v>
      </c>
      <c r="F85" s="70">
        <v>3</v>
      </c>
      <c r="G85" s="70">
        <v>3</v>
      </c>
      <c r="H85" s="70">
        <v>3</v>
      </c>
      <c r="I85" s="70">
        <v>3</v>
      </c>
      <c r="J85" s="70">
        <v>3</v>
      </c>
      <c r="K85" s="70">
        <v>3</v>
      </c>
      <c r="L85" s="78">
        <f>SUM(Tabla26[[#This Row],[R6]:[R14]])/9</f>
        <v>3.1111111111111112</v>
      </c>
      <c r="M85" s="81">
        <f>Tabla26[[#This Row],[Promedio Xi]]-$O$143</f>
        <v>0.1178451178451172</v>
      </c>
      <c r="N85" s="85">
        <f>Tabla26[[#This Row],[Xi-X̄]]^2</f>
        <v>1.388747179992956E-2</v>
      </c>
      <c r="O85" s="83"/>
    </row>
    <row r="86" spans="2:15" ht="15.75" thickBot="1" x14ac:dyDescent="0.25">
      <c r="B86" s="71">
        <v>76</v>
      </c>
      <c r="C86" s="72">
        <v>1</v>
      </c>
      <c r="D86" s="72">
        <v>2</v>
      </c>
      <c r="E86" s="72">
        <v>3</v>
      </c>
      <c r="F86" s="72">
        <v>1</v>
      </c>
      <c r="G86" s="72">
        <v>3</v>
      </c>
      <c r="H86" s="72">
        <v>4</v>
      </c>
      <c r="I86" s="72">
        <v>3</v>
      </c>
      <c r="J86" s="72">
        <v>5</v>
      </c>
      <c r="K86" s="72">
        <v>5</v>
      </c>
      <c r="L86" s="78">
        <f>SUM(Tabla26[[#This Row],[R6]:[R14]])/9</f>
        <v>3</v>
      </c>
      <c r="M86" s="81">
        <f>Tabla26[[#This Row],[Promedio Xi]]-$O$143</f>
        <v>6.7340067340060372E-3</v>
      </c>
      <c r="N86" s="85">
        <f>Tabla26[[#This Row],[Xi-X̄]]^2</f>
        <v>4.5346846693638659E-5</v>
      </c>
      <c r="O86" s="83"/>
    </row>
    <row r="87" spans="2:15" ht="15.75" thickBot="1" x14ac:dyDescent="0.25">
      <c r="B87" s="69">
        <v>77</v>
      </c>
      <c r="C87" s="70">
        <v>3</v>
      </c>
      <c r="D87" s="70">
        <v>3</v>
      </c>
      <c r="E87" s="70">
        <v>3</v>
      </c>
      <c r="F87" s="70">
        <v>4</v>
      </c>
      <c r="G87" s="70">
        <v>4</v>
      </c>
      <c r="H87" s="70">
        <v>4</v>
      </c>
      <c r="I87" s="70">
        <v>4</v>
      </c>
      <c r="J87" s="70">
        <v>4</v>
      </c>
      <c r="K87" s="70">
        <v>4</v>
      </c>
      <c r="L87" s="78">
        <f>SUM(Tabla26[[#This Row],[R6]:[R14]])/9</f>
        <v>3.6666666666666665</v>
      </c>
      <c r="M87" s="81">
        <f>Tabla26[[#This Row],[Promedio Xi]]-$O$143</f>
        <v>0.67340067340067256</v>
      </c>
      <c r="N87" s="85">
        <f>Tabla26[[#This Row],[Xi-X̄]]^2</f>
        <v>0.45346846693647924</v>
      </c>
      <c r="O87" s="83"/>
    </row>
    <row r="88" spans="2:15" ht="15.75" thickBot="1" x14ac:dyDescent="0.25">
      <c r="B88" s="71">
        <v>78</v>
      </c>
      <c r="C88" s="72">
        <v>3</v>
      </c>
      <c r="D88" s="72">
        <v>4</v>
      </c>
      <c r="E88" s="72">
        <v>5</v>
      </c>
      <c r="F88" s="72">
        <v>2</v>
      </c>
      <c r="G88" s="72">
        <v>4</v>
      </c>
      <c r="H88" s="72">
        <v>3</v>
      </c>
      <c r="I88" s="72">
        <v>3</v>
      </c>
      <c r="J88" s="72">
        <v>1</v>
      </c>
      <c r="K88" s="72">
        <v>5</v>
      </c>
      <c r="L88" s="78">
        <f>SUM(Tabla26[[#This Row],[R6]:[R14]])/9</f>
        <v>3.3333333333333335</v>
      </c>
      <c r="M88" s="81">
        <f>Tabla26[[#This Row],[Promedio Xi]]-$O$143</f>
        <v>0.34006734006733952</v>
      </c>
      <c r="N88" s="85">
        <f>Tabla26[[#This Row],[Xi-X̄]]^2</f>
        <v>0.11564579578047554</v>
      </c>
      <c r="O88" s="83"/>
    </row>
    <row r="89" spans="2:15" ht="15.75" thickBot="1" x14ac:dyDescent="0.25">
      <c r="B89" s="69">
        <v>79</v>
      </c>
      <c r="C89" s="70">
        <v>3</v>
      </c>
      <c r="D89" s="70">
        <v>4</v>
      </c>
      <c r="E89" s="70">
        <v>3</v>
      </c>
      <c r="F89" s="70">
        <v>3</v>
      </c>
      <c r="G89" s="70">
        <v>3</v>
      </c>
      <c r="H89" s="70">
        <v>3</v>
      </c>
      <c r="I89" s="70">
        <v>3</v>
      </c>
      <c r="J89" s="70">
        <v>2</v>
      </c>
      <c r="K89" s="70">
        <v>3</v>
      </c>
      <c r="L89" s="78">
        <f>SUM(Tabla26[[#This Row],[R6]:[R14]])/9</f>
        <v>3</v>
      </c>
      <c r="M89" s="81">
        <f>Tabla26[[#This Row],[Promedio Xi]]-$O$143</f>
        <v>6.7340067340060372E-3</v>
      </c>
      <c r="N89" s="85">
        <f>Tabla26[[#This Row],[Xi-X̄]]^2</f>
        <v>4.5346846693638659E-5</v>
      </c>
      <c r="O89" s="83"/>
    </row>
    <row r="90" spans="2:15" ht="15.75" thickBot="1" x14ac:dyDescent="0.25">
      <c r="B90" s="71">
        <v>80</v>
      </c>
      <c r="C90" s="72">
        <v>3</v>
      </c>
      <c r="D90" s="72">
        <v>3</v>
      </c>
      <c r="E90" s="72">
        <v>3</v>
      </c>
      <c r="F90" s="72">
        <v>3</v>
      </c>
      <c r="G90" s="72">
        <v>3</v>
      </c>
      <c r="H90" s="72">
        <v>3</v>
      </c>
      <c r="I90" s="72">
        <v>3</v>
      </c>
      <c r="J90" s="72">
        <v>2</v>
      </c>
      <c r="K90" s="72">
        <v>4</v>
      </c>
      <c r="L90" s="78">
        <f>SUM(Tabla26[[#This Row],[R6]:[R14]])/9</f>
        <v>3</v>
      </c>
      <c r="M90" s="81">
        <f>Tabla26[[#This Row],[Promedio Xi]]-$O$143</f>
        <v>6.7340067340060372E-3</v>
      </c>
      <c r="N90" s="85">
        <f>Tabla26[[#This Row],[Xi-X̄]]^2</f>
        <v>4.5346846693638659E-5</v>
      </c>
      <c r="O90" s="83"/>
    </row>
    <row r="91" spans="2:15" ht="15.75" thickBot="1" x14ac:dyDescent="0.25">
      <c r="B91" s="69">
        <v>81</v>
      </c>
      <c r="C91" s="70">
        <v>3</v>
      </c>
      <c r="D91" s="70">
        <v>3</v>
      </c>
      <c r="E91" s="70">
        <v>3</v>
      </c>
      <c r="F91" s="70">
        <v>2</v>
      </c>
      <c r="G91" s="70">
        <v>3</v>
      </c>
      <c r="H91" s="70">
        <v>3</v>
      </c>
      <c r="I91" s="70">
        <v>3</v>
      </c>
      <c r="J91" s="70">
        <v>4</v>
      </c>
      <c r="K91" s="70">
        <v>4</v>
      </c>
      <c r="L91" s="78">
        <f>SUM(Tabla26[[#This Row],[R6]:[R14]])/9</f>
        <v>3.1111111111111112</v>
      </c>
      <c r="M91" s="81">
        <f>Tabla26[[#This Row],[Promedio Xi]]-$O$143</f>
        <v>0.1178451178451172</v>
      </c>
      <c r="N91" s="85">
        <f>Tabla26[[#This Row],[Xi-X̄]]^2</f>
        <v>1.388747179992956E-2</v>
      </c>
      <c r="O91" s="83"/>
    </row>
    <row r="92" spans="2:15" ht="15.75" thickBot="1" x14ac:dyDescent="0.25">
      <c r="B92" s="71">
        <v>82</v>
      </c>
      <c r="C92" s="72">
        <v>2</v>
      </c>
      <c r="D92" s="72">
        <v>2</v>
      </c>
      <c r="E92" s="72">
        <v>2</v>
      </c>
      <c r="F92" s="72">
        <v>3</v>
      </c>
      <c r="G92" s="72">
        <v>2</v>
      </c>
      <c r="H92" s="72">
        <v>3</v>
      </c>
      <c r="I92" s="72">
        <v>2</v>
      </c>
      <c r="J92" s="72">
        <v>3</v>
      </c>
      <c r="K92" s="72">
        <v>2</v>
      </c>
      <c r="L92" s="78">
        <f>SUM(Tabla26[[#This Row],[R6]:[R14]])/9</f>
        <v>2.3333333333333335</v>
      </c>
      <c r="M92" s="81">
        <f>Tabla26[[#This Row],[Promedio Xi]]-$O$143</f>
        <v>-0.65993265993266048</v>
      </c>
      <c r="N92" s="85">
        <f>Tabla26[[#This Row],[Xi-X̄]]^2</f>
        <v>0.43551111564579653</v>
      </c>
      <c r="O92" s="83"/>
    </row>
    <row r="93" spans="2:15" ht="15.75" thickBot="1" x14ac:dyDescent="0.25">
      <c r="B93" s="69">
        <v>83</v>
      </c>
      <c r="C93" s="70">
        <v>3</v>
      </c>
      <c r="D93" s="70">
        <v>4</v>
      </c>
      <c r="E93" s="70">
        <v>4</v>
      </c>
      <c r="F93" s="70">
        <v>3</v>
      </c>
      <c r="G93" s="70">
        <v>3</v>
      </c>
      <c r="H93" s="70">
        <v>3</v>
      </c>
      <c r="I93" s="70">
        <v>3</v>
      </c>
      <c r="J93" s="70">
        <v>4</v>
      </c>
      <c r="K93" s="70">
        <v>4</v>
      </c>
      <c r="L93" s="78">
        <f>SUM(Tabla26[[#This Row],[R6]:[R14]])/9</f>
        <v>3.4444444444444446</v>
      </c>
      <c r="M93" s="81">
        <f>Tabla26[[#This Row],[Promedio Xi]]-$O$143</f>
        <v>0.45117845117845068</v>
      </c>
      <c r="N93" s="85">
        <f>Tabla26[[#This Row],[Xi-X̄]]^2</f>
        <v>0.20356199480778561</v>
      </c>
      <c r="O93" s="83"/>
    </row>
    <row r="94" spans="2:15" ht="15.75" thickBot="1" x14ac:dyDescent="0.25">
      <c r="B94" s="71">
        <v>84</v>
      </c>
      <c r="C94" s="72">
        <v>3</v>
      </c>
      <c r="D94" s="72">
        <v>3</v>
      </c>
      <c r="E94" s="72">
        <v>3</v>
      </c>
      <c r="F94" s="72">
        <v>2</v>
      </c>
      <c r="G94" s="72">
        <v>5</v>
      </c>
      <c r="H94" s="72">
        <v>5</v>
      </c>
      <c r="I94" s="72">
        <v>4</v>
      </c>
      <c r="J94" s="72">
        <v>5</v>
      </c>
      <c r="K94" s="72">
        <v>5</v>
      </c>
      <c r="L94" s="78">
        <f>SUM(Tabla26[[#This Row],[R6]:[R14]])/9</f>
        <v>3.8888888888888888</v>
      </c>
      <c r="M94" s="81">
        <f>Tabla26[[#This Row],[Promedio Xi]]-$O$143</f>
        <v>0.89562289562289488</v>
      </c>
      <c r="N94" s="85">
        <f>Tabla26[[#This Row],[Xi-X̄]]^2</f>
        <v>0.80214037116393888</v>
      </c>
      <c r="O94" s="83"/>
    </row>
    <row r="95" spans="2:15" ht="15.75" thickBot="1" x14ac:dyDescent="0.25">
      <c r="B95" s="69">
        <v>85</v>
      </c>
      <c r="C95" s="70">
        <v>2</v>
      </c>
      <c r="D95" s="70">
        <v>3</v>
      </c>
      <c r="E95" s="70">
        <v>2</v>
      </c>
      <c r="F95" s="70">
        <v>1</v>
      </c>
      <c r="G95" s="70">
        <v>3</v>
      </c>
      <c r="H95" s="70">
        <v>1</v>
      </c>
      <c r="I95" s="70">
        <v>2</v>
      </c>
      <c r="J95" s="70">
        <v>2</v>
      </c>
      <c r="K95" s="70">
        <v>1</v>
      </c>
      <c r="L95" s="78">
        <f>SUM(Tabla26[[#This Row],[R6]:[R14]])/9</f>
        <v>1.8888888888888888</v>
      </c>
      <c r="M95" s="81">
        <f>Tabla26[[#This Row],[Promedio Xi]]-$O$143</f>
        <v>-1.1043771043771051</v>
      </c>
      <c r="N95" s="85">
        <f>Tabla26[[#This Row],[Xi-X̄]]^2</f>
        <v>1.2196487886723593</v>
      </c>
      <c r="O95" s="83"/>
    </row>
    <row r="96" spans="2:15" ht="15.75" thickBot="1" x14ac:dyDescent="0.25">
      <c r="B96" s="71">
        <v>86</v>
      </c>
      <c r="C96" s="72">
        <v>2</v>
      </c>
      <c r="D96" s="72">
        <v>3</v>
      </c>
      <c r="E96" s="72">
        <v>3</v>
      </c>
      <c r="F96" s="72">
        <v>3</v>
      </c>
      <c r="G96" s="72">
        <v>5</v>
      </c>
      <c r="H96" s="72">
        <v>5</v>
      </c>
      <c r="I96" s="72">
        <v>3</v>
      </c>
      <c r="J96" s="72">
        <v>5</v>
      </c>
      <c r="K96" s="72">
        <v>4</v>
      </c>
      <c r="L96" s="78">
        <f>SUM(Tabla26[[#This Row],[R6]:[R14]])/9</f>
        <v>3.6666666666666665</v>
      </c>
      <c r="M96" s="81">
        <f>Tabla26[[#This Row],[Promedio Xi]]-$O$143</f>
        <v>0.67340067340067256</v>
      </c>
      <c r="N96" s="85">
        <f>Tabla26[[#This Row],[Xi-X̄]]^2</f>
        <v>0.45346846693647924</v>
      </c>
      <c r="O96" s="83"/>
    </row>
    <row r="97" spans="2:15" ht="15.75" thickBot="1" x14ac:dyDescent="0.25">
      <c r="B97" s="69">
        <v>87</v>
      </c>
      <c r="C97" s="70">
        <v>4</v>
      </c>
      <c r="D97" s="70">
        <v>4</v>
      </c>
      <c r="E97" s="70">
        <v>4</v>
      </c>
      <c r="F97" s="70">
        <v>4</v>
      </c>
      <c r="G97" s="70">
        <v>4</v>
      </c>
      <c r="H97" s="70">
        <v>4</v>
      </c>
      <c r="I97" s="70">
        <v>4</v>
      </c>
      <c r="J97" s="70">
        <v>3</v>
      </c>
      <c r="K97" s="70">
        <v>4</v>
      </c>
      <c r="L97" s="78">
        <f>SUM(Tabla26[[#This Row],[R6]:[R14]])/9</f>
        <v>3.8888888888888888</v>
      </c>
      <c r="M97" s="81">
        <f>Tabla26[[#This Row],[Promedio Xi]]-$O$143</f>
        <v>0.89562289562289488</v>
      </c>
      <c r="N97" s="85">
        <f>Tabla26[[#This Row],[Xi-X̄]]^2</f>
        <v>0.80214037116393888</v>
      </c>
      <c r="O97" s="83"/>
    </row>
    <row r="98" spans="2:15" ht="15.75" thickBot="1" x14ac:dyDescent="0.25">
      <c r="B98" s="71">
        <v>88</v>
      </c>
      <c r="C98" s="72">
        <v>3</v>
      </c>
      <c r="D98" s="72">
        <v>1</v>
      </c>
      <c r="E98" s="72">
        <v>3</v>
      </c>
      <c r="F98" s="72">
        <v>2</v>
      </c>
      <c r="G98" s="72">
        <v>3</v>
      </c>
      <c r="H98" s="72">
        <v>3</v>
      </c>
      <c r="I98" s="72">
        <v>2</v>
      </c>
      <c r="J98" s="72">
        <v>3</v>
      </c>
      <c r="K98" s="72">
        <v>2</v>
      </c>
      <c r="L98" s="78">
        <f>SUM(Tabla26[[#This Row],[R6]:[R14]])/9</f>
        <v>2.4444444444444446</v>
      </c>
      <c r="M98" s="81">
        <f>Tabla26[[#This Row],[Promedio Xi]]-$O$143</f>
        <v>-0.54882154882154932</v>
      </c>
      <c r="N98" s="85">
        <f>Tabla26[[#This Row],[Xi-X̄]]^2</f>
        <v>0.30120509245088423</v>
      </c>
      <c r="O98" s="83"/>
    </row>
    <row r="99" spans="2:15" ht="15.75" thickBot="1" x14ac:dyDescent="0.25">
      <c r="B99" s="69">
        <v>89</v>
      </c>
      <c r="C99" s="70">
        <v>3</v>
      </c>
      <c r="D99" s="70">
        <v>3</v>
      </c>
      <c r="E99" s="70">
        <v>3</v>
      </c>
      <c r="F99" s="70">
        <v>3</v>
      </c>
      <c r="G99" s="70">
        <v>3</v>
      </c>
      <c r="H99" s="70">
        <v>3</v>
      </c>
      <c r="I99" s="70">
        <v>3</v>
      </c>
      <c r="J99" s="70">
        <v>3</v>
      </c>
      <c r="K99" s="70">
        <v>3</v>
      </c>
      <c r="L99" s="78">
        <f>SUM(Tabla26[[#This Row],[R6]:[R14]])/9</f>
        <v>3</v>
      </c>
      <c r="M99" s="81">
        <f>Tabla26[[#This Row],[Promedio Xi]]-$O$143</f>
        <v>6.7340067340060372E-3</v>
      </c>
      <c r="N99" s="85">
        <f>Tabla26[[#This Row],[Xi-X̄]]^2</f>
        <v>4.5346846693638659E-5</v>
      </c>
      <c r="O99" s="83"/>
    </row>
    <row r="100" spans="2:15" ht="15.75" thickBot="1" x14ac:dyDescent="0.25">
      <c r="B100" s="71">
        <v>90</v>
      </c>
      <c r="C100" s="72">
        <v>4</v>
      </c>
      <c r="D100" s="72">
        <v>3</v>
      </c>
      <c r="E100" s="72">
        <v>4</v>
      </c>
      <c r="F100" s="72">
        <v>3</v>
      </c>
      <c r="G100" s="72">
        <v>3</v>
      </c>
      <c r="H100" s="72">
        <v>4</v>
      </c>
      <c r="I100" s="72">
        <v>4</v>
      </c>
      <c r="J100" s="72">
        <v>3</v>
      </c>
      <c r="K100" s="72">
        <v>3</v>
      </c>
      <c r="L100" s="78">
        <f>SUM(Tabla26[[#This Row],[R6]:[R14]])/9</f>
        <v>3.4444444444444446</v>
      </c>
      <c r="M100" s="81">
        <f>Tabla26[[#This Row],[Promedio Xi]]-$O$143</f>
        <v>0.45117845117845068</v>
      </c>
      <c r="N100" s="85">
        <f>Tabla26[[#This Row],[Xi-X̄]]^2</f>
        <v>0.20356199480778561</v>
      </c>
      <c r="O100" s="83"/>
    </row>
    <row r="101" spans="2:15" ht="15.75" thickBot="1" x14ac:dyDescent="0.25">
      <c r="B101" s="69">
        <v>91</v>
      </c>
      <c r="C101" s="70">
        <v>3</v>
      </c>
      <c r="D101" s="70">
        <v>4</v>
      </c>
      <c r="E101" s="70">
        <v>4</v>
      </c>
      <c r="F101" s="70">
        <v>4</v>
      </c>
      <c r="G101" s="70">
        <v>5</v>
      </c>
      <c r="H101" s="70">
        <v>4</v>
      </c>
      <c r="I101" s="70">
        <v>4</v>
      </c>
      <c r="J101" s="70">
        <v>2</v>
      </c>
      <c r="K101" s="70">
        <v>5</v>
      </c>
      <c r="L101" s="78">
        <f>SUM(Tabla26[[#This Row],[R6]:[R14]])/9</f>
        <v>3.8888888888888888</v>
      </c>
      <c r="M101" s="81">
        <f>Tabla26[[#This Row],[Promedio Xi]]-$O$143</f>
        <v>0.89562289562289488</v>
      </c>
      <c r="N101" s="85">
        <f>Tabla26[[#This Row],[Xi-X̄]]^2</f>
        <v>0.80214037116393888</v>
      </c>
      <c r="O101" s="83"/>
    </row>
    <row r="102" spans="2:15" ht="15.75" thickBot="1" x14ac:dyDescent="0.25">
      <c r="B102" s="71">
        <v>92</v>
      </c>
      <c r="C102" s="72">
        <v>3</v>
      </c>
      <c r="D102" s="72">
        <v>4</v>
      </c>
      <c r="E102" s="72">
        <v>4</v>
      </c>
      <c r="F102" s="72">
        <v>3</v>
      </c>
      <c r="G102" s="72">
        <v>4</v>
      </c>
      <c r="H102" s="72">
        <v>5</v>
      </c>
      <c r="I102" s="72">
        <v>4</v>
      </c>
      <c r="J102" s="72">
        <v>4</v>
      </c>
      <c r="K102" s="72">
        <v>3</v>
      </c>
      <c r="L102" s="78">
        <f>SUM(Tabla26[[#This Row],[R6]:[R14]])/9</f>
        <v>3.7777777777777777</v>
      </c>
      <c r="M102" s="81">
        <f>Tabla26[[#This Row],[Promedio Xi]]-$O$143</f>
        <v>0.78451178451178372</v>
      </c>
      <c r="N102" s="85">
        <f>Tabla26[[#This Row],[Xi-X̄]]^2</f>
        <v>0.61545874003786338</v>
      </c>
      <c r="O102" s="83"/>
    </row>
    <row r="103" spans="2:15" ht="15.75" thickBot="1" x14ac:dyDescent="0.25">
      <c r="B103" s="69">
        <v>93</v>
      </c>
      <c r="C103" s="70">
        <v>3</v>
      </c>
      <c r="D103" s="70">
        <v>4</v>
      </c>
      <c r="E103" s="70">
        <v>2</v>
      </c>
      <c r="F103" s="70">
        <v>1</v>
      </c>
      <c r="G103" s="70">
        <v>3</v>
      </c>
      <c r="H103" s="70">
        <v>2</v>
      </c>
      <c r="I103" s="70">
        <v>1</v>
      </c>
      <c r="J103" s="70">
        <v>1</v>
      </c>
      <c r="K103" s="70">
        <v>4</v>
      </c>
      <c r="L103" s="78">
        <f>SUM(Tabla26[[#This Row],[R6]:[R14]])/9</f>
        <v>2.3333333333333335</v>
      </c>
      <c r="M103" s="81">
        <f>Tabla26[[#This Row],[Promedio Xi]]-$O$143</f>
        <v>-0.65993265993266048</v>
      </c>
      <c r="N103" s="85">
        <f>Tabla26[[#This Row],[Xi-X̄]]^2</f>
        <v>0.43551111564579653</v>
      </c>
      <c r="O103" s="83"/>
    </row>
    <row r="104" spans="2:15" ht="15.75" thickBot="1" x14ac:dyDescent="0.25">
      <c r="B104" s="71">
        <v>94</v>
      </c>
      <c r="C104" s="72">
        <v>3</v>
      </c>
      <c r="D104" s="72">
        <v>3</v>
      </c>
      <c r="E104" s="72">
        <v>3</v>
      </c>
      <c r="F104" s="72">
        <v>1</v>
      </c>
      <c r="G104" s="72">
        <v>4</v>
      </c>
      <c r="H104" s="72">
        <v>3</v>
      </c>
      <c r="I104" s="72">
        <v>2</v>
      </c>
      <c r="J104" s="72">
        <v>1</v>
      </c>
      <c r="K104" s="72">
        <v>4</v>
      </c>
      <c r="L104" s="78">
        <f>SUM(Tabla26[[#This Row],[R6]:[R14]])/9</f>
        <v>2.6666666666666665</v>
      </c>
      <c r="M104" s="81">
        <f>Tabla26[[#This Row],[Promedio Xi]]-$O$143</f>
        <v>-0.32659932659932744</v>
      </c>
      <c r="N104" s="85">
        <f>Tabla26[[#This Row],[Xi-X̄]]^2</f>
        <v>0.10666712013513416</v>
      </c>
      <c r="O104" s="83"/>
    </row>
    <row r="105" spans="2:15" ht="15.75" thickBot="1" x14ac:dyDescent="0.25">
      <c r="B105" s="69">
        <v>95</v>
      </c>
      <c r="C105" s="70">
        <v>2</v>
      </c>
      <c r="D105" s="70">
        <v>3</v>
      </c>
      <c r="E105" s="70">
        <v>3</v>
      </c>
      <c r="F105" s="70">
        <v>4</v>
      </c>
      <c r="G105" s="70">
        <v>3</v>
      </c>
      <c r="H105" s="70">
        <v>4</v>
      </c>
      <c r="I105" s="70">
        <v>4</v>
      </c>
      <c r="J105" s="70">
        <v>4</v>
      </c>
      <c r="K105" s="70">
        <v>4</v>
      </c>
      <c r="L105" s="78">
        <f>SUM(Tabla26[[#This Row],[R6]:[R14]])/9</f>
        <v>3.4444444444444446</v>
      </c>
      <c r="M105" s="81">
        <f>Tabla26[[#This Row],[Promedio Xi]]-$O$143</f>
        <v>0.45117845117845068</v>
      </c>
      <c r="N105" s="85">
        <f>Tabla26[[#This Row],[Xi-X̄]]^2</f>
        <v>0.20356199480778561</v>
      </c>
      <c r="O105" s="83"/>
    </row>
    <row r="106" spans="2:15" ht="15.75" thickBot="1" x14ac:dyDescent="0.25">
      <c r="B106" s="71">
        <v>96</v>
      </c>
      <c r="C106" s="72">
        <v>3</v>
      </c>
      <c r="D106" s="72">
        <v>3</v>
      </c>
      <c r="E106" s="72">
        <v>3</v>
      </c>
      <c r="F106" s="72">
        <v>3</v>
      </c>
      <c r="G106" s="72">
        <v>3</v>
      </c>
      <c r="H106" s="72">
        <v>3</v>
      </c>
      <c r="I106" s="72">
        <v>3</v>
      </c>
      <c r="J106" s="72">
        <v>3</v>
      </c>
      <c r="K106" s="72">
        <v>3</v>
      </c>
      <c r="L106" s="78">
        <f>SUM(Tabla26[[#This Row],[R6]:[R14]])/9</f>
        <v>3</v>
      </c>
      <c r="M106" s="81">
        <f>Tabla26[[#This Row],[Promedio Xi]]-$O$143</f>
        <v>6.7340067340060372E-3</v>
      </c>
      <c r="N106" s="85">
        <f>Tabla26[[#This Row],[Xi-X̄]]^2</f>
        <v>4.5346846693638659E-5</v>
      </c>
      <c r="O106" s="83"/>
    </row>
    <row r="107" spans="2:15" ht="15.75" thickBot="1" x14ac:dyDescent="0.25">
      <c r="B107" s="69">
        <v>97</v>
      </c>
      <c r="C107" s="70">
        <v>3</v>
      </c>
      <c r="D107" s="70">
        <v>5</v>
      </c>
      <c r="E107" s="70">
        <v>3</v>
      </c>
      <c r="F107" s="70">
        <v>3</v>
      </c>
      <c r="G107" s="70">
        <v>3</v>
      </c>
      <c r="H107" s="70">
        <v>3</v>
      </c>
      <c r="I107" s="70">
        <v>4</v>
      </c>
      <c r="J107" s="70">
        <v>1</v>
      </c>
      <c r="K107" s="70">
        <v>3</v>
      </c>
      <c r="L107" s="78">
        <f>SUM(Tabla26[[#This Row],[R6]:[R14]])/9</f>
        <v>3.1111111111111112</v>
      </c>
      <c r="M107" s="81">
        <f>Tabla26[[#This Row],[Promedio Xi]]-$O$143</f>
        <v>0.1178451178451172</v>
      </c>
      <c r="N107" s="85">
        <f>Tabla26[[#This Row],[Xi-X̄]]^2</f>
        <v>1.388747179992956E-2</v>
      </c>
      <c r="O107" s="83"/>
    </row>
    <row r="108" spans="2:15" ht="15.75" thickBot="1" x14ac:dyDescent="0.25">
      <c r="B108" s="71">
        <v>98</v>
      </c>
      <c r="C108" s="72">
        <v>3</v>
      </c>
      <c r="D108" s="72">
        <v>3</v>
      </c>
      <c r="E108" s="72">
        <v>3</v>
      </c>
      <c r="F108" s="72">
        <v>3</v>
      </c>
      <c r="G108" s="72">
        <v>4</v>
      </c>
      <c r="H108" s="72">
        <v>4</v>
      </c>
      <c r="I108" s="72">
        <v>3</v>
      </c>
      <c r="J108" s="72">
        <v>4</v>
      </c>
      <c r="K108" s="72">
        <v>4</v>
      </c>
      <c r="L108" s="78">
        <f>SUM(Tabla26[[#This Row],[R6]:[R14]])/9</f>
        <v>3.4444444444444446</v>
      </c>
      <c r="M108" s="81">
        <f>Tabla26[[#This Row],[Promedio Xi]]-$O$143</f>
        <v>0.45117845117845068</v>
      </c>
      <c r="N108" s="85">
        <f>Tabla26[[#This Row],[Xi-X̄]]^2</f>
        <v>0.20356199480778561</v>
      </c>
      <c r="O108" s="83"/>
    </row>
    <row r="109" spans="2:15" ht="15.75" thickBot="1" x14ac:dyDescent="0.25">
      <c r="B109" s="69">
        <v>99</v>
      </c>
      <c r="C109" s="70">
        <v>4</v>
      </c>
      <c r="D109" s="70">
        <v>4</v>
      </c>
      <c r="E109" s="70">
        <v>5</v>
      </c>
      <c r="F109" s="70">
        <v>2</v>
      </c>
      <c r="G109" s="70">
        <v>4</v>
      </c>
      <c r="H109" s="70">
        <v>5</v>
      </c>
      <c r="I109" s="70">
        <v>4</v>
      </c>
      <c r="J109" s="70">
        <v>5</v>
      </c>
      <c r="K109" s="70">
        <v>5</v>
      </c>
      <c r="L109" s="78">
        <f>SUM(Tabla26[[#This Row],[R6]:[R14]])/9</f>
        <v>4.2222222222222223</v>
      </c>
      <c r="M109" s="81">
        <f>Tabla26[[#This Row],[Promedio Xi]]-$O$143</f>
        <v>1.2289562289562284</v>
      </c>
      <c r="N109" s="85">
        <f>Tabla26[[#This Row],[Xi-X̄]]^2</f>
        <v>1.5103334126903136</v>
      </c>
      <c r="O109" s="83"/>
    </row>
    <row r="110" spans="2:15" ht="15.75" thickBot="1" x14ac:dyDescent="0.25">
      <c r="B110" s="71">
        <v>100</v>
      </c>
      <c r="C110" s="72">
        <v>5</v>
      </c>
      <c r="D110" s="72">
        <v>5</v>
      </c>
      <c r="E110" s="72">
        <v>5</v>
      </c>
      <c r="F110" s="72">
        <v>5</v>
      </c>
      <c r="G110" s="72">
        <v>5</v>
      </c>
      <c r="H110" s="72">
        <v>4</v>
      </c>
      <c r="I110" s="72">
        <v>4</v>
      </c>
      <c r="J110" s="72">
        <v>5</v>
      </c>
      <c r="K110" s="72">
        <v>5</v>
      </c>
      <c r="L110" s="78">
        <f>SUM(Tabla26[[#This Row],[R6]:[R14]])/9</f>
        <v>4.7777777777777777</v>
      </c>
      <c r="M110" s="81">
        <f>Tabla26[[#This Row],[Promedio Xi]]-$O$143</f>
        <v>1.7845117845117837</v>
      </c>
      <c r="N110" s="85">
        <f>Tabla26[[#This Row],[Xi-X̄]]^2</f>
        <v>3.1844823090614307</v>
      </c>
      <c r="O110" s="83"/>
    </row>
    <row r="111" spans="2:15" ht="15.75" thickBot="1" x14ac:dyDescent="0.25">
      <c r="B111" s="69">
        <v>101</v>
      </c>
      <c r="C111" s="70">
        <v>4</v>
      </c>
      <c r="D111" s="70">
        <v>3</v>
      </c>
      <c r="E111" s="70">
        <v>5</v>
      </c>
      <c r="F111" s="70">
        <v>2</v>
      </c>
      <c r="G111" s="70">
        <v>4</v>
      </c>
      <c r="H111" s="70">
        <v>5</v>
      </c>
      <c r="I111" s="70">
        <v>4</v>
      </c>
      <c r="J111" s="70">
        <v>5</v>
      </c>
      <c r="K111" s="70">
        <v>4</v>
      </c>
      <c r="L111" s="78">
        <f>SUM(Tabla26[[#This Row],[R6]:[R14]])/9</f>
        <v>4</v>
      </c>
      <c r="M111" s="81">
        <f>Tabla26[[#This Row],[Promedio Xi]]-$O$143</f>
        <v>1.006734006734006</v>
      </c>
      <c r="N111" s="85">
        <f>Tabla26[[#This Row],[Xi-X̄]]^2</f>
        <v>1.0135133603147057</v>
      </c>
      <c r="O111" s="83"/>
    </row>
    <row r="112" spans="2:15" ht="15.75" thickBot="1" x14ac:dyDescent="0.25">
      <c r="B112" s="71">
        <v>102</v>
      </c>
      <c r="C112" s="72">
        <v>5</v>
      </c>
      <c r="D112" s="72">
        <v>5</v>
      </c>
      <c r="E112" s="72">
        <v>3</v>
      </c>
      <c r="F112" s="72">
        <v>3</v>
      </c>
      <c r="G112" s="72">
        <v>2</v>
      </c>
      <c r="H112" s="72">
        <v>3</v>
      </c>
      <c r="I112" s="72">
        <v>3</v>
      </c>
      <c r="J112" s="72">
        <v>4</v>
      </c>
      <c r="K112" s="72">
        <v>5</v>
      </c>
      <c r="L112" s="78">
        <f>SUM(Tabla26[[#This Row],[R6]:[R14]])/9</f>
        <v>3.6666666666666665</v>
      </c>
      <c r="M112" s="81">
        <f>Tabla26[[#This Row],[Promedio Xi]]-$O$143</f>
        <v>0.67340067340067256</v>
      </c>
      <c r="N112" s="85">
        <f>Tabla26[[#This Row],[Xi-X̄]]^2</f>
        <v>0.45346846693647924</v>
      </c>
      <c r="O112" s="83"/>
    </row>
    <row r="113" spans="2:16" ht="15.75" thickBot="1" x14ac:dyDescent="0.25">
      <c r="B113" s="69">
        <v>103</v>
      </c>
      <c r="C113" s="70">
        <v>2</v>
      </c>
      <c r="D113" s="70">
        <v>3</v>
      </c>
      <c r="E113" s="70">
        <v>3</v>
      </c>
      <c r="F113" s="70">
        <v>3</v>
      </c>
      <c r="G113" s="70">
        <v>3</v>
      </c>
      <c r="H113" s="70">
        <v>3</v>
      </c>
      <c r="I113" s="70">
        <v>3</v>
      </c>
      <c r="J113" s="70">
        <v>4</v>
      </c>
      <c r="K113" s="70">
        <v>4</v>
      </c>
      <c r="L113" s="78">
        <f>SUM(Tabla26[[#This Row],[R6]:[R14]])/9</f>
        <v>3.1111111111111112</v>
      </c>
      <c r="M113" s="81">
        <f>Tabla26[[#This Row],[Promedio Xi]]-$O$143</f>
        <v>0.1178451178451172</v>
      </c>
      <c r="N113" s="85">
        <f>Tabla26[[#This Row],[Xi-X̄]]^2</f>
        <v>1.388747179992956E-2</v>
      </c>
      <c r="O113" s="83"/>
    </row>
    <row r="114" spans="2:16" ht="15.75" thickBot="1" x14ac:dyDescent="0.25">
      <c r="B114" s="71">
        <v>104</v>
      </c>
      <c r="C114" s="72">
        <v>3</v>
      </c>
      <c r="D114" s="72">
        <v>3</v>
      </c>
      <c r="E114" s="72">
        <v>3</v>
      </c>
      <c r="F114" s="72">
        <v>3</v>
      </c>
      <c r="G114" s="72">
        <v>3</v>
      </c>
      <c r="H114" s="72">
        <v>3</v>
      </c>
      <c r="I114" s="72">
        <v>3</v>
      </c>
      <c r="J114" s="72">
        <v>3</v>
      </c>
      <c r="K114" s="72">
        <v>3</v>
      </c>
      <c r="L114" s="78">
        <f>SUM(Tabla26[[#This Row],[R6]:[R14]])/9</f>
        <v>3</v>
      </c>
      <c r="M114" s="81">
        <f>Tabla26[[#This Row],[Promedio Xi]]-$O$143</f>
        <v>6.7340067340060372E-3</v>
      </c>
      <c r="N114" s="85">
        <f>Tabla26[[#This Row],[Xi-X̄]]^2</f>
        <v>4.5346846693638659E-5</v>
      </c>
      <c r="O114" s="83"/>
    </row>
    <row r="115" spans="2:16" ht="15.75" thickBot="1" x14ac:dyDescent="0.25">
      <c r="B115" s="69">
        <v>105</v>
      </c>
      <c r="C115" s="70">
        <v>3</v>
      </c>
      <c r="D115" s="70">
        <v>5</v>
      </c>
      <c r="E115" s="70">
        <v>2</v>
      </c>
      <c r="F115" s="70">
        <v>3</v>
      </c>
      <c r="G115" s="70">
        <v>2</v>
      </c>
      <c r="H115" s="70">
        <v>3</v>
      </c>
      <c r="I115" s="70">
        <v>2</v>
      </c>
      <c r="J115" s="70">
        <v>4</v>
      </c>
      <c r="K115" s="70">
        <v>3</v>
      </c>
      <c r="L115" s="78">
        <f>SUM(Tabla26[[#This Row],[R6]:[R14]])/9</f>
        <v>3</v>
      </c>
      <c r="M115" s="81">
        <f>Tabla26[[#This Row],[Promedio Xi]]-$O$143</f>
        <v>6.7340067340060372E-3</v>
      </c>
      <c r="N115" s="85">
        <f>Tabla26[[#This Row],[Xi-X̄]]^2</f>
        <v>4.5346846693638659E-5</v>
      </c>
      <c r="O115" s="83"/>
    </row>
    <row r="116" spans="2:16" ht="15.75" thickBot="1" x14ac:dyDescent="0.25">
      <c r="B116" s="71">
        <v>106</v>
      </c>
      <c r="C116" s="72">
        <v>2</v>
      </c>
      <c r="D116" s="72">
        <v>2</v>
      </c>
      <c r="E116" s="72">
        <v>3</v>
      </c>
      <c r="F116" s="72">
        <v>2</v>
      </c>
      <c r="G116" s="72">
        <v>3</v>
      </c>
      <c r="H116" s="72">
        <v>2</v>
      </c>
      <c r="I116" s="72">
        <v>3</v>
      </c>
      <c r="J116" s="72">
        <v>4</v>
      </c>
      <c r="K116" s="72">
        <v>3</v>
      </c>
      <c r="L116" s="78">
        <f>SUM(Tabla26[[#This Row],[R6]:[R14]])/9</f>
        <v>2.6666666666666665</v>
      </c>
      <c r="M116" s="81">
        <f>Tabla26[[#This Row],[Promedio Xi]]-$O$143</f>
        <v>-0.32659932659932744</v>
      </c>
      <c r="N116" s="85">
        <f>Tabla26[[#This Row],[Xi-X̄]]^2</f>
        <v>0.10666712013513416</v>
      </c>
      <c r="O116" s="83"/>
    </row>
    <row r="117" spans="2:16" ht="15.75" thickBot="1" x14ac:dyDescent="0.25">
      <c r="B117" s="69">
        <v>107</v>
      </c>
      <c r="C117" s="70">
        <v>1</v>
      </c>
      <c r="D117" s="70">
        <v>2</v>
      </c>
      <c r="E117" s="70">
        <v>1</v>
      </c>
      <c r="F117" s="70">
        <v>1</v>
      </c>
      <c r="G117" s="70">
        <v>2</v>
      </c>
      <c r="H117" s="70">
        <v>1</v>
      </c>
      <c r="I117" s="70">
        <v>1</v>
      </c>
      <c r="J117" s="70">
        <v>1</v>
      </c>
      <c r="K117" s="70">
        <v>2</v>
      </c>
      <c r="L117" s="78">
        <f>SUM(Tabla26[[#This Row],[R6]:[R14]])/9</f>
        <v>1.3333333333333333</v>
      </c>
      <c r="M117" s="81">
        <f>Tabla26[[#This Row],[Promedio Xi]]-$O$143</f>
        <v>-1.6599326599326607</v>
      </c>
      <c r="N117" s="85">
        <f>Tabla26[[#This Row],[Xi-X̄]]^2</f>
        <v>2.7553764355111183</v>
      </c>
      <c r="O117" s="83"/>
    </row>
    <row r="118" spans="2:16" ht="15.75" thickBot="1" x14ac:dyDescent="0.25">
      <c r="B118" s="71">
        <v>108</v>
      </c>
      <c r="C118" s="72">
        <v>2</v>
      </c>
      <c r="D118" s="72">
        <v>2</v>
      </c>
      <c r="E118" s="72">
        <v>1</v>
      </c>
      <c r="F118" s="72">
        <v>1</v>
      </c>
      <c r="G118" s="72">
        <v>2</v>
      </c>
      <c r="H118" s="72">
        <v>2</v>
      </c>
      <c r="I118" s="72">
        <v>1</v>
      </c>
      <c r="J118" s="72">
        <v>1</v>
      </c>
      <c r="K118" s="72">
        <v>2</v>
      </c>
      <c r="L118" s="78">
        <f>SUM(Tabla26[[#This Row],[R6]:[R14]])/9</f>
        <v>1.5555555555555556</v>
      </c>
      <c r="M118" s="81">
        <f>Tabla26[[#This Row],[Promedio Xi]]-$O$143</f>
        <v>-1.4377104377104384</v>
      </c>
      <c r="N118" s="85">
        <f>Tabla26[[#This Row],[Xi-X̄]]^2</f>
        <v>2.0670113027015402</v>
      </c>
      <c r="O118" s="83"/>
    </row>
    <row r="119" spans="2:16" ht="15.75" thickBot="1" x14ac:dyDescent="0.25">
      <c r="B119" s="69">
        <v>109</v>
      </c>
      <c r="C119" s="70">
        <v>1</v>
      </c>
      <c r="D119" s="70">
        <v>1</v>
      </c>
      <c r="E119" s="70">
        <v>2</v>
      </c>
      <c r="F119" s="70">
        <v>2</v>
      </c>
      <c r="G119" s="70">
        <v>1</v>
      </c>
      <c r="H119" s="70">
        <v>2</v>
      </c>
      <c r="I119" s="70">
        <v>2</v>
      </c>
      <c r="J119" s="70">
        <v>1</v>
      </c>
      <c r="K119" s="70">
        <v>2</v>
      </c>
      <c r="L119" s="78">
        <f>SUM(Tabla26[[#This Row],[R6]:[R14]])/9</f>
        <v>1.5555555555555556</v>
      </c>
      <c r="M119" s="81">
        <f>Tabla26[[#This Row],[Promedio Xi]]-$O$143</f>
        <v>-1.4377104377104384</v>
      </c>
      <c r="N119" s="85">
        <f>Tabla26[[#This Row],[Xi-X̄]]^2</f>
        <v>2.0670113027015402</v>
      </c>
      <c r="O119" s="83"/>
    </row>
    <row r="120" spans="2:16" ht="15.75" thickBot="1" x14ac:dyDescent="0.25">
      <c r="B120" s="71">
        <v>110</v>
      </c>
      <c r="C120" s="72">
        <v>2</v>
      </c>
      <c r="D120" s="72">
        <v>2</v>
      </c>
      <c r="E120" s="72">
        <v>2</v>
      </c>
      <c r="F120" s="72">
        <v>1</v>
      </c>
      <c r="G120" s="72">
        <v>1</v>
      </c>
      <c r="H120" s="72">
        <v>2</v>
      </c>
      <c r="I120" s="72">
        <v>2</v>
      </c>
      <c r="J120" s="72">
        <v>2</v>
      </c>
      <c r="K120" s="72">
        <v>1</v>
      </c>
      <c r="L120" s="78">
        <f>SUM(Tabla26[[#This Row],[R6]:[R14]])/9</f>
        <v>1.6666666666666667</v>
      </c>
      <c r="M120" s="81">
        <f>Tabla26[[#This Row],[Promedio Xi]]-$O$143</f>
        <v>-1.3265993265993272</v>
      </c>
      <c r="N120" s="85">
        <f>Tabla26[[#This Row],[Xi-X̄]]^2</f>
        <v>1.7598657733337884</v>
      </c>
      <c r="O120" s="83"/>
    </row>
    <row r="121" spans="2:16" ht="15.75" thickBot="1" x14ac:dyDescent="0.25">
      <c r="B121" s="69">
        <v>111</v>
      </c>
      <c r="C121" s="70">
        <v>4</v>
      </c>
      <c r="D121" s="70">
        <v>3</v>
      </c>
      <c r="E121" s="70">
        <v>4</v>
      </c>
      <c r="F121" s="70">
        <v>4</v>
      </c>
      <c r="G121" s="70">
        <v>3</v>
      </c>
      <c r="H121" s="70">
        <v>3</v>
      </c>
      <c r="I121" s="70">
        <v>3</v>
      </c>
      <c r="J121" s="70">
        <v>3</v>
      </c>
      <c r="K121" s="70">
        <v>4</v>
      </c>
      <c r="L121" s="78">
        <f>SUM(Tabla26[[#This Row],[R6]:[R14]])/9</f>
        <v>3.4444444444444446</v>
      </c>
      <c r="M121" s="81">
        <f>Tabla26[[#This Row],[Promedio Xi]]-$O$143</f>
        <v>0.45117845117845068</v>
      </c>
      <c r="N121" s="85">
        <f>Tabla26[[#This Row],[Xi-X̄]]^2</f>
        <v>0.20356199480778561</v>
      </c>
      <c r="O121" s="83"/>
    </row>
    <row r="122" spans="2:16" ht="15.75" thickBot="1" x14ac:dyDescent="0.25">
      <c r="B122" s="71">
        <v>112</v>
      </c>
      <c r="C122" s="72">
        <v>2</v>
      </c>
      <c r="D122" s="72">
        <v>1</v>
      </c>
      <c r="E122" s="72">
        <v>1</v>
      </c>
      <c r="F122" s="72">
        <v>3</v>
      </c>
      <c r="G122" s="72">
        <v>2</v>
      </c>
      <c r="H122" s="72">
        <v>2</v>
      </c>
      <c r="I122" s="72">
        <v>1</v>
      </c>
      <c r="J122" s="72">
        <v>2</v>
      </c>
      <c r="K122" s="72">
        <v>3</v>
      </c>
      <c r="L122" s="78">
        <f>SUM(Tabla26[[#This Row],[R6]:[R14]])/9</f>
        <v>1.8888888888888888</v>
      </c>
      <c r="M122" s="81">
        <f>Tabla26[[#This Row],[Promedio Xi]]-$O$143</f>
        <v>-1.1043771043771051</v>
      </c>
      <c r="N122" s="85">
        <f>Tabla26[[#This Row],[Xi-X̄]]^2</f>
        <v>1.2196487886723593</v>
      </c>
      <c r="O122" s="83"/>
    </row>
    <row r="123" spans="2:16" ht="15.75" thickBot="1" x14ac:dyDescent="0.25">
      <c r="B123" s="69">
        <v>113</v>
      </c>
      <c r="C123" s="70">
        <v>2</v>
      </c>
      <c r="D123" s="70">
        <v>2</v>
      </c>
      <c r="E123" s="70">
        <v>3</v>
      </c>
      <c r="F123" s="70">
        <v>2</v>
      </c>
      <c r="G123" s="70">
        <v>3</v>
      </c>
      <c r="H123" s="70">
        <v>3</v>
      </c>
      <c r="I123" s="70">
        <v>3</v>
      </c>
      <c r="J123" s="70">
        <v>2</v>
      </c>
      <c r="K123" s="70">
        <v>3</v>
      </c>
      <c r="L123" s="78">
        <f>SUM(Tabla26[[#This Row],[R6]:[R14]])/9</f>
        <v>2.5555555555555554</v>
      </c>
      <c r="M123" s="81">
        <f>Tabla26[[#This Row],[Promedio Xi]]-$O$143</f>
        <v>-0.4377104377104386</v>
      </c>
      <c r="N123" s="85">
        <f>Tabla26[[#This Row],[Xi-X̄]]^2</f>
        <v>0.19159042728066375</v>
      </c>
      <c r="O123" s="83"/>
    </row>
    <row r="124" spans="2:16" ht="15.75" thickBot="1" x14ac:dyDescent="0.25">
      <c r="B124" s="71">
        <v>114</v>
      </c>
      <c r="C124" s="72">
        <v>3</v>
      </c>
      <c r="D124" s="72">
        <v>2</v>
      </c>
      <c r="E124" s="72">
        <v>2</v>
      </c>
      <c r="F124" s="72">
        <v>2</v>
      </c>
      <c r="G124" s="72">
        <v>2</v>
      </c>
      <c r="H124" s="72">
        <v>3</v>
      </c>
      <c r="I124" s="72">
        <v>2</v>
      </c>
      <c r="J124" s="72">
        <v>1</v>
      </c>
      <c r="K124" s="72">
        <v>2</v>
      </c>
      <c r="L124" s="78">
        <f>SUM(Tabla26[[#This Row],[R6]:[R14]])/9</f>
        <v>2.1111111111111112</v>
      </c>
      <c r="M124" s="81">
        <f>Tabla26[[#This Row],[Promedio Xi]]-$O$143</f>
        <v>-0.8821548821548828</v>
      </c>
      <c r="N124" s="85">
        <f>Tabla26[[#This Row],[Xi-X̄]]^2</f>
        <v>0.77819723610969516</v>
      </c>
      <c r="O124" s="83"/>
    </row>
    <row r="125" spans="2:16" ht="15.75" thickBot="1" x14ac:dyDescent="0.25">
      <c r="B125" s="69">
        <v>115</v>
      </c>
      <c r="C125" s="70">
        <v>2</v>
      </c>
      <c r="D125" s="70">
        <v>1</v>
      </c>
      <c r="E125" s="70">
        <v>1</v>
      </c>
      <c r="F125" s="70">
        <v>2</v>
      </c>
      <c r="G125" s="70">
        <v>2</v>
      </c>
      <c r="H125" s="70">
        <v>2</v>
      </c>
      <c r="I125" s="70">
        <v>2</v>
      </c>
      <c r="J125" s="70">
        <v>1</v>
      </c>
      <c r="K125" s="70">
        <v>2</v>
      </c>
      <c r="L125" s="78">
        <f>SUM(Tabla26[[#This Row],[R6]:[R14]])/9</f>
        <v>1.6666666666666667</v>
      </c>
      <c r="M125" s="81">
        <f>Tabla26[[#This Row],[Promedio Xi]]-$O$143</f>
        <v>-1.3265993265993272</v>
      </c>
      <c r="N125" s="85">
        <f>Tabla26[[#This Row],[Xi-X̄]]^2</f>
        <v>1.7598657733337884</v>
      </c>
      <c r="O125" s="83"/>
    </row>
    <row r="126" spans="2:16" ht="15.75" thickBot="1" x14ac:dyDescent="0.25">
      <c r="B126" s="71">
        <v>116</v>
      </c>
      <c r="C126" s="72">
        <v>3</v>
      </c>
      <c r="D126" s="72">
        <v>2</v>
      </c>
      <c r="E126" s="72">
        <v>2</v>
      </c>
      <c r="F126" s="72">
        <v>3</v>
      </c>
      <c r="G126" s="72">
        <v>3</v>
      </c>
      <c r="H126" s="72">
        <v>3</v>
      </c>
      <c r="I126" s="72">
        <v>2</v>
      </c>
      <c r="J126" s="72">
        <v>3</v>
      </c>
      <c r="K126" s="72">
        <v>2</v>
      </c>
      <c r="L126" s="78">
        <f>SUM(Tabla26[[#This Row],[R6]:[R14]])/9</f>
        <v>2.5555555555555554</v>
      </c>
      <c r="M126" s="81">
        <f>Tabla26[[#This Row],[Promedio Xi]]-$O$143</f>
        <v>-0.4377104377104386</v>
      </c>
      <c r="N126" s="85">
        <f>Tabla26[[#This Row],[Xi-X̄]]^2</f>
        <v>0.19159042728066375</v>
      </c>
      <c r="O126" s="83"/>
    </row>
    <row r="127" spans="2:16" ht="15.75" thickBot="1" x14ac:dyDescent="0.25">
      <c r="B127" s="69">
        <v>117</v>
      </c>
      <c r="C127" s="70">
        <v>2</v>
      </c>
      <c r="D127" s="70">
        <v>2</v>
      </c>
      <c r="E127" s="70">
        <v>1</v>
      </c>
      <c r="F127" s="70">
        <v>2</v>
      </c>
      <c r="G127" s="70">
        <v>2</v>
      </c>
      <c r="H127" s="70">
        <v>2</v>
      </c>
      <c r="I127" s="70">
        <v>3</v>
      </c>
      <c r="J127" s="70">
        <v>2</v>
      </c>
      <c r="K127" s="70">
        <v>2</v>
      </c>
      <c r="L127" s="78">
        <f>SUM(Tabla26[[#This Row],[R6]:[R14]])/9</f>
        <v>2</v>
      </c>
      <c r="M127" s="81">
        <f>Tabla26[[#This Row],[Promedio Xi]]-$O$143</f>
        <v>-0.99326599326599396</v>
      </c>
      <c r="N127" s="85">
        <f>Tabla26[[#This Row],[Xi-X̄]]^2</f>
        <v>0.98657733337868159</v>
      </c>
      <c r="O127" s="83"/>
    </row>
    <row r="128" spans="2:16" ht="15.75" thickBot="1" x14ac:dyDescent="0.25">
      <c r="B128" s="71">
        <v>118</v>
      </c>
      <c r="C128" s="72">
        <v>2</v>
      </c>
      <c r="D128" s="72">
        <v>2</v>
      </c>
      <c r="E128" s="72">
        <v>2</v>
      </c>
      <c r="F128" s="72">
        <v>3</v>
      </c>
      <c r="G128" s="72">
        <v>3</v>
      </c>
      <c r="H128" s="72">
        <v>1</v>
      </c>
      <c r="I128" s="72">
        <v>2</v>
      </c>
      <c r="J128" s="72">
        <v>2</v>
      </c>
      <c r="K128" s="72">
        <v>3</v>
      </c>
      <c r="L128" s="78">
        <f>SUM(Tabla26[[#This Row],[R6]:[R14]])/9</f>
        <v>2.2222222222222223</v>
      </c>
      <c r="M128" s="81">
        <f>Tabla26[[#This Row],[Promedio Xi]]-$O$143</f>
        <v>-0.77104377104377164</v>
      </c>
      <c r="N128" s="85">
        <f>Tabla26[[#This Row],[Xi-X̄]]^2</f>
        <v>0.59450849686540019</v>
      </c>
      <c r="O128" s="83"/>
      <c r="P128" s="89" t="s">
        <v>526</v>
      </c>
    </row>
    <row r="129" spans="1:18" ht="15.75" thickBot="1" x14ac:dyDescent="0.25">
      <c r="B129" s="69">
        <v>119</v>
      </c>
      <c r="C129" s="70">
        <v>2</v>
      </c>
      <c r="D129" s="70">
        <v>2</v>
      </c>
      <c r="E129" s="70">
        <v>3</v>
      </c>
      <c r="F129" s="70">
        <v>2</v>
      </c>
      <c r="G129" s="70">
        <v>2</v>
      </c>
      <c r="H129" s="70">
        <v>1</v>
      </c>
      <c r="I129" s="70">
        <v>1</v>
      </c>
      <c r="J129" s="70">
        <v>2</v>
      </c>
      <c r="K129" s="70">
        <v>2</v>
      </c>
      <c r="L129" s="78">
        <f>SUM(Tabla26[[#This Row],[R6]:[R14]])/9</f>
        <v>1.8888888888888888</v>
      </c>
      <c r="M129" s="81">
        <f>Tabla26[[#This Row],[Promedio Xi]]-$O$143</f>
        <v>-1.1043771043771051</v>
      </c>
      <c r="N129" s="85">
        <f>Tabla26[[#This Row],[Xi-X̄]]^2</f>
        <v>1.2196487886723593</v>
      </c>
      <c r="O129" s="83"/>
      <c r="P129" s="90">
        <f>N143/131</f>
        <v>0.59612808891858904</v>
      </c>
    </row>
    <row r="130" spans="1:18" ht="15.75" thickBot="1" x14ac:dyDescent="0.25">
      <c r="B130" s="71">
        <v>120</v>
      </c>
      <c r="C130" s="72">
        <v>1</v>
      </c>
      <c r="D130" s="72">
        <v>2</v>
      </c>
      <c r="E130" s="72">
        <v>2</v>
      </c>
      <c r="F130" s="72">
        <v>2</v>
      </c>
      <c r="G130" s="72">
        <v>1</v>
      </c>
      <c r="H130" s="72">
        <v>2</v>
      </c>
      <c r="I130" s="72">
        <v>2</v>
      </c>
      <c r="J130" s="72">
        <v>1</v>
      </c>
      <c r="K130" s="72">
        <v>2</v>
      </c>
      <c r="L130" s="78">
        <f>SUM(Tabla26[[#This Row],[R6]:[R14]])/9</f>
        <v>1.6666666666666667</v>
      </c>
      <c r="M130" s="81">
        <f>Tabla26[[#This Row],[Promedio Xi]]-$O$143</f>
        <v>-1.3265993265993272</v>
      </c>
      <c r="N130" s="85">
        <f>Tabla26[[#This Row],[Xi-X̄]]^2</f>
        <v>1.7598657733337884</v>
      </c>
      <c r="O130" s="83"/>
    </row>
    <row r="131" spans="1:18" ht="21" thickBot="1" x14ac:dyDescent="0.35">
      <c r="B131" s="69">
        <v>121</v>
      </c>
      <c r="C131" s="70">
        <v>3</v>
      </c>
      <c r="D131" s="70">
        <v>2</v>
      </c>
      <c r="E131" s="70">
        <v>3</v>
      </c>
      <c r="F131" s="70">
        <v>3</v>
      </c>
      <c r="G131" s="70">
        <v>3</v>
      </c>
      <c r="H131" s="70">
        <v>3</v>
      </c>
      <c r="I131" s="70">
        <v>4</v>
      </c>
      <c r="J131" s="70">
        <v>3</v>
      </c>
      <c r="K131" s="70">
        <v>3</v>
      </c>
      <c r="L131" s="78">
        <f>SUM(Tabla26[[#This Row],[R6]:[R14]])/9</f>
        <v>3</v>
      </c>
      <c r="M131" s="81">
        <f>Tabla26[[#This Row],[Promedio Xi]]-$O$143</f>
        <v>6.7340067340060372E-3</v>
      </c>
      <c r="N131" s="85">
        <f>Tabla26[[#This Row],[Xi-X̄]]^2</f>
        <v>4.5346846693638659E-5</v>
      </c>
      <c r="O131" s="83"/>
      <c r="Q131" s="91">
        <f>SQRT(P129)</f>
        <v>0.77209331619862442</v>
      </c>
      <c r="R131" s="91" t="s">
        <v>527</v>
      </c>
    </row>
    <row r="132" spans="1:18" ht="15.75" thickBot="1" x14ac:dyDescent="0.25">
      <c r="B132" s="71">
        <v>122</v>
      </c>
      <c r="C132" s="72">
        <v>2</v>
      </c>
      <c r="D132" s="72">
        <v>3</v>
      </c>
      <c r="E132" s="72">
        <v>2</v>
      </c>
      <c r="F132" s="72">
        <v>2</v>
      </c>
      <c r="G132" s="72">
        <v>3</v>
      </c>
      <c r="H132" s="72">
        <v>2</v>
      </c>
      <c r="I132" s="72">
        <v>2</v>
      </c>
      <c r="J132" s="72">
        <v>2</v>
      </c>
      <c r="K132" s="72">
        <v>3</v>
      </c>
      <c r="L132" s="78">
        <f>SUM(Tabla26[[#This Row],[R6]:[R14]])/9</f>
        <v>2.3333333333333335</v>
      </c>
      <c r="M132" s="81">
        <f>Tabla26[[#This Row],[Promedio Xi]]-$O$143</f>
        <v>-0.65993265993266048</v>
      </c>
      <c r="N132" s="85">
        <f>Tabla26[[#This Row],[Xi-X̄]]^2</f>
        <v>0.43551111564579653</v>
      </c>
      <c r="O132" s="83"/>
    </row>
    <row r="133" spans="1:18" ht="15.75" thickBot="1" x14ac:dyDescent="0.25">
      <c r="B133" s="69">
        <v>123</v>
      </c>
      <c r="C133" s="70">
        <v>2</v>
      </c>
      <c r="D133" s="70">
        <v>2</v>
      </c>
      <c r="E133" s="70">
        <v>3</v>
      </c>
      <c r="F133" s="70">
        <v>2</v>
      </c>
      <c r="G133" s="70">
        <v>2</v>
      </c>
      <c r="H133" s="70">
        <v>2</v>
      </c>
      <c r="I133" s="70">
        <v>3</v>
      </c>
      <c r="J133" s="70">
        <v>2</v>
      </c>
      <c r="K133" s="70">
        <v>3</v>
      </c>
      <c r="L133" s="78">
        <f>SUM(Tabla26[[#This Row],[R6]:[R14]])/9</f>
        <v>2.3333333333333335</v>
      </c>
      <c r="M133" s="81">
        <f>Tabla26[[#This Row],[Promedio Xi]]-$O$143</f>
        <v>-0.65993265993266048</v>
      </c>
      <c r="N133" s="85">
        <f>Tabla26[[#This Row],[Xi-X̄]]^2</f>
        <v>0.43551111564579653</v>
      </c>
      <c r="O133" s="83"/>
    </row>
    <row r="134" spans="1:18" ht="15.75" thickBot="1" x14ac:dyDescent="0.25">
      <c r="B134" s="71">
        <v>124</v>
      </c>
      <c r="C134" s="72">
        <v>2</v>
      </c>
      <c r="D134" s="72">
        <v>3</v>
      </c>
      <c r="E134" s="72">
        <v>3</v>
      </c>
      <c r="F134" s="72">
        <v>2</v>
      </c>
      <c r="G134" s="72">
        <v>2</v>
      </c>
      <c r="H134" s="72">
        <v>2</v>
      </c>
      <c r="I134" s="72">
        <v>2</v>
      </c>
      <c r="J134" s="72">
        <v>3</v>
      </c>
      <c r="K134" s="72">
        <v>2</v>
      </c>
      <c r="L134" s="78">
        <f>SUM(Tabla26[[#This Row],[R6]:[R14]])/9</f>
        <v>2.3333333333333335</v>
      </c>
      <c r="M134" s="81">
        <f>Tabla26[[#This Row],[Promedio Xi]]-$O$143</f>
        <v>-0.65993265993266048</v>
      </c>
      <c r="N134" s="85">
        <f>Tabla26[[#This Row],[Xi-X̄]]^2</f>
        <v>0.43551111564579653</v>
      </c>
      <c r="O134" s="83"/>
    </row>
    <row r="135" spans="1:18" ht="15.75" thickBot="1" x14ac:dyDescent="0.25">
      <c r="B135" s="69">
        <v>125</v>
      </c>
      <c r="C135" s="70">
        <v>1</v>
      </c>
      <c r="D135" s="70">
        <v>2</v>
      </c>
      <c r="E135" s="70">
        <v>1</v>
      </c>
      <c r="F135" s="70">
        <v>2</v>
      </c>
      <c r="G135" s="70">
        <v>1</v>
      </c>
      <c r="H135" s="70">
        <v>2</v>
      </c>
      <c r="I135" s="70">
        <v>2</v>
      </c>
      <c r="J135" s="70">
        <v>1</v>
      </c>
      <c r="K135" s="70">
        <v>1</v>
      </c>
      <c r="L135" s="78">
        <f>SUM(Tabla26[[#This Row],[R6]:[R14]])/9</f>
        <v>1.4444444444444444</v>
      </c>
      <c r="M135" s="81">
        <f>Tabla26[[#This Row],[Promedio Xi]]-$O$143</f>
        <v>-1.5488215488215495</v>
      </c>
      <c r="N135" s="85">
        <f>Tabla26[[#This Row],[Xi-X̄]]^2</f>
        <v>2.3988481900939838</v>
      </c>
      <c r="O135" s="83"/>
    </row>
    <row r="136" spans="1:18" ht="15.75" thickBot="1" x14ac:dyDescent="0.25">
      <c r="B136" s="71">
        <v>126</v>
      </c>
      <c r="C136" s="72">
        <v>1</v>
      </c>
      <c r="D136" s="72">
        <v>2</v>
      </c>
      <c r="E136" s="72">
        <v>1</v>
      </c>
      <c r="F136" s="72">
        <v>1</v>
      </c>
      <c r="G136" s="72">
        <v>1</v>
      </c>
      <c r="H136" s="72">
        <v>1</v>
      </c>
      <c r="I136" s="72">
        <v>2</v>
      </c>
      <c r="J136" s="72">
        <v>1</v>
      </c>
      <c r="K136" s="72">
        <v>1</v>
      </c>
      <c r="L136" s="78">
        <f>SUM(Tabla26[[#This Row],[R6]:[R14]])/9</f>
        <v>1.2222222222222223</v>
      </c>
      <c r="M136" s="81">
        <f>Tabla26[[#This Row],[Promedio Xi]]-$O$143</f>
        <v>-1.7710437710437716</v>
      </c>
      <c r="N136" s="85">
        <f>Tabla26[[#This Row],[Xi-X̄]]^2</f>
        <v>3.1365960389529435</v>
      </c>
      <c r="O136" s="83"/>
    </row>
    <row r="137" spans="1:18" ht="15.75" thickBot="1" x14ac:dyDescent="0.25">
      <c r="B137" s="69">
        <v>127</v>
      </c>
      <c r="C137" s="70">
        <v>2</v>
      </c>
      <c r="D137" s="70">
        <v>2</v>
      </c>
      <c r="E137" s="70">
        <v>2</v>
      </c>
      <c r="F137" s="70">
        <v>2</v>
      </c>
      <c r="G137" s="70">
        <v>2</v>
      </c>
      <c r="H137" s="70">
        <v>2</v>
      </c>
      <c r="I137" s="70">
        <v>2</v>
      </c>
      <c r="J137" s="70">
        <v>2</v>
      </c>
      <c r="K137" s="70">
        <v>2</v>
      </c>
      <c r="L137" s="78">
        <f>SUM(Tabla26[[#This Row],[R6]:[R14]])/9</f>
        <v>2</v>
      </c>
      <c r="M137" s="81">
        <f>Tabla26[[#This Row],[Promedio Xi]]-$O$143</f>
        <v>-0.99326599326599396</v>
      </c>
      <c r="N137" s="85">
        <f>Tabla26[[#This Row],[Xi-X̄]]^2</f>
        <v>0.98657733337868159</v>
      </c>
      <c r="O137" s="83"/>
    </row>
    <row r="138" spans="1:18" ht="15.75" thickBot="1" x14ac:dyDescent="0.25">
      <c r="B138" s="73">
        <v>128</v>
      </c>
      <c r="C138" s="74">
        <v>1</v>
      </c>
      <c r="D138" s="74">
        <v>2</v>
      </c>
      <c r="E138" s="74">
        <v>1</v>
      </c>
      <c r="F138" s="74">
        <v>1</v>
      </c>
      <c r="G138" s="74">
        <v>1</v>
      </c>
      <c r="H138" s="74">
        <v>1</v>
      </c>
      <c r="I138" s="74">
        <v>2</v>
      </c>
      <c r="J138" s="74">
        <v>2</v>
      </c>
      <c r="K138" s="74">
        <v>2</v>
      </c>
      <c r="L138" s="78">
        <f>SUM(Tabla26[[#This Row],[R6]:[R14]])/9</f>
        <v>1.4444444444444444</v>
      </c>
      <c r="M138" s="81">
        <f>Tabla26[[#This Row],[Promedio Xi]]-$O$143</f>
        <v>-1.5488215488215495</v>
      </c>
      <c r="N138" s="85">
        <f>Tabla26[[#This Row],[Xi-X̄]]^2</f>
        <v>2.3988481900939838</v>
      </c>
      <c r="O138" s="83"/>
    </row>
    <row r="139" spans="1:18" ht="15.75" thickBot="1" x14ac:dyDescent="0.25">
      <c r="B139" s="69">
        <v>129</v>
      </c>
      <c r="C139" s="70">
        <v>2</v>
      </c>
      <c r="D139" s="70">
        <v>2</v>
      </c>
      <c r="E139" s="70">
        <v>2</v>
      </c>
      <c r="F139" s="70">
        <v>1</v>
      </c>
      <c r="G139" s="70">
        <v>2</v>
      </c>
      <c r="H139" s="70">
        <v>2</v>
      </c>
      <c r="I139" s="70">
        <v>1</v>
      </c>
      <c r="J139" s="70">
        <v>1</v>
      </c>
      <c r="K139" s="70">
        <v>2</v>
      </c>
      <c r="L139" s="78">
        <f>SUM(Tabla26[[#This Row],[R6]:[R14]])/9</f>
        <v>1.6666666666666667</v>
      </c>
      <c r="M139" s="81">
        <f>Tabla26[[#This Row],[Promedio Xi]]-$O$143</f>
        <v>-1.3265993265993272</v>
      </c>
      <c r="N139" s="85">
        <f>Tabla26[[#This Row],[Xi-X̄]]^2</f>
        <v>1.7598657733337884</v>
      </c>
      <c r="O139" s="83"/>
    </row>
    <row r="140" spans="1:18" ht="15.75" thickBot="1" x14ac:dyDescent="0.25">
      <c r="A140">
        <v>233</v>
      </c>
      <c r="B140" s="71">
        <v>130</v>
      </c>
      <c r="C140" s="72">
        <v>1</v>
      </c>
      <c r="D140" s="72">
        <v>1</v>
      </c>
      <c r="E140" s="72">
        <v>1</v>
      </c>
      <c r="F140" s="72">
        <v>1</v>
      </c>
      <c r="G140" s="72">
        <v>1</v>
      </c>
      <c r="H140" s="72">
        <v>1</v>
      </c>
      <c r="I140" s="72">
        <v>1</v>
      </c>
      <c r="J140" s="72">
        <v>1</v>
      </c>
      <c r="K140" s="72">
        <v>1</v>
      </c>
      <c r="L140" s="78">
        <f>SUM(Tabla26[[#This Row],[R6]:[R14]])/9</f>
        <v>1</v>
      </c>
      <c r="M140" s="81">
        <f>Tabla26[[#This Row],[Promedio Xi]]-$O$143</f>
        <v>-1.993265993265994</v>
      </c>
      <c r="N140" s="85">
        <f>Tabla26[[#This Row],[Xi-X̄]]^2</f>
        <v>3.9731093199106695</v>
      </c>
      <c r="O140" s="83"/>
    </row>
    <row r="141" spans="1:18" ht="15.75" thickBot="1" x14ac:dyDescent="0.25">
      <c r="A141">
        <v>234</v>
      </c>
      <c r="B141" s="69">
        <v>131</v>
      </c>
      <c r="C141" s="70">
        <v>4</v>
      </c>
      <c r="D141" s="70">
        <v>4</v>
      </c>
      <c r="E141" s="70">
        <v>4</v>
      </c>
      <c r="F141" s="70">
        <v>4</v>
      </c>
      <c r="G141" s="70">
        <v>3</v>
      </c>
      <c r="H141" s="70">
        <v>4</v>
      </c>
      <c r="I141" s="70">
        <v>4</v>
      </c>
      <c r="J141" s="70">
        <v>5</v>
      </c>
      <c r="K141" s="70">
        <v>5</v>
      </c>
      <c r="L141" s="78">
        <f>SUM(Tabla26[[#This Row],[R6]:[R14]])/9</f>
        <v>4.1111111111111107</v>
      </c>
      <c r="M141" s="81">
        <f>Tabla26[[#This Row],[Promedio Xi]]-$O$143</f>
        <v>1.1178451178451168</v>
      </c>
      <c r="N141" s="85">
        <f>Tabla26[[#This Row],[Xi-X̄]]^2</f>
        <v>1.2495777074901631</v>
      </c>
      <c r="O141" s="83"/>
    </row>
    <row r="142" spans="1:18" ht="15.75" thickBot="1" x14ac:dyDescent="0.25">
      <c r="B142" s="73">
        <v>132</v>
      </c>
      <c r="C142" s="74">
        <v>2</v>
      </c>
      <c r="D142" s="74">
        <v>2</v>
      </c>
      <c r="E142" s="74">
        <v>3</v>
      </c>
      <c r="F142" s="74">
        <v>2</v>
      </c>
      <c r="G142" s="74">
        <v>2</v>
      </c>
      <c r="H142" s="74">
        <v>2</v>
      </c>
      <c r="I142" s="74">
        <v>3</v>
      </c>
      <c r="J142" s="74">
        <v>3</v>
      </c>
      <c r="K142" s="74">
        <v>2</v>
      </c>
      <c r="L142" s="78">
        <f>SUM(Tabla26[[#This Row],[R6]:[R14]])/9</f>
        <v>2.3333333333333335</v>
      </c>
      <c r="M142" s="81">
        <f>Tabla26[[#This Row],[Promedio Xi]]-$O$143</f>
        <v>-0.65993265993266048</v>
      </c>
      <c r="N142" s="85">
        <f>Tabla26[[#This Row],[Xi-X̄]]^2</f>
        <v>0.43551111564579653</v>
      </c>
      <c r="O142" s="83"/>
    </row>
    <row r="143" spans="1:18" ht="15" x14ac:dyDescent="0.2">
      <c r="B143" s="73" t="s">
        <v>433</v>
      </c>
      <c r="C143" s="74"/>
      <c r="D143" s="74"/>
      <c r="E143" s="74"/>
      <c r="F143" s="74"/>
      <c r="G143" s="74"/>
      <c r="H143" s="74"/>
      <c r="I143" s="74"/>
      <c r="J143" s="74"/>
      <c r="K143" s="74"/>
      <c r="L143" s="79">
        <f>SUM(L11:L142)</f>
        <v>395.1111111111112</v>
      </c>
      <c r="M143" s="81">
        <f>SUM(M11:M142)</f>
        <v>-9.4813046302988369E-14</v>
      </c>
      <c r="N143" s="85">
        <f>SUM(N11:N142)</f>
        <v>78.092779648335167</v>
      </c>
      <c r="O143" s="86">
        <f>Tabla26[[#This Row],[Promedio Xi]]/132</f>
        <v>2.993265993265994</v>
      </c>
      <c r="P143" s="87" t="s">
        <v>522</v>
      </c>
    </row>
  </sheetData>
  <phoneticPr fontId="17" type="noConversion"/>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8CFB8-A7E6-4A4B-A11E-A7E3FECA8448}">
  <dimension ref="A3:G14"/>
  <sheetViews>
    <sheetView topLeftCell="A26" workbookViewId="0">
      <selection activeCell="I12" sqref="I12"/>
    </sheetView>
  </sheetViews>
  <sheetFormatPr baseColWidth="10" defaultRowHeight="12.75" x14ac:dyDescent="0.2"/>
  <cols>
    <col min="2" max="2" width="26.5703125" bestFit="1" customWidth="1"/>
  </cols>
  <sheetData>
    <row r="3" spans="1:7" ht="13.5" thickBot="1" x14ac:dyDescent="0.25"/>
    <row r="4" spans="1:7" ht="30.75" thickBot="1" x14ac:dyDescent="0.25">
      <c r="A4" s="132" t="s">
        <v>463</v>
      </c>
      <c r="B4" s="132" t="s">
        <v>464</v>
      </c>
      <c r="C4" s="132" t="s">
        <v>548</v>
      </c>
      <c r="D4" s="132" t="s">
        <v>549</v>
      </c>
      <c r="E4" s="132" t="s">
        <v>550</v>
      </c>
      <c r="F4" s="132" t="s">
        <v>551</v>
      </c>
      <c r="G4" s="132" t="s">
        <v>552</v>
      </c>
    </row>
    <row r="5" spans="1:7" ht="15" x14ac:dyDescent="0.2">
      <c r="A5" s="133">
        <v>1</v>
      </c>
      <c r="B5" s="136" t="s">
        <v>295</v>
      </c>
      <c r="C5" s="133">
        <v>5</v>
      </c>
      <c r="D5" s="138">
        <f>C5/$C$14</f>
        <v>2.1276595744680851E-2</v>
      </c>
      <c r="E5" s="138">
        <f>D5*100</f>
        <v>2.1276595744680851</v>
      </c>
      <c r="F5" s="133">
        <v>5</v>
      </c>
      <c r="G5" s="138">
        <f>F5/$C$14*100</f>
        <v>2.1276595744680851</v>
      </c>
    </row>
    <row r="6" spans="1:7" ht="15" x14ac:dyDescent="0.2">
      <c r="A6" s="134">
        <v>2</v>
      </c>
      <c r="B6" s="137" t="s">
        <v>148</v>
      </c>
      <c r="C6" s="134">
        <v>17</v>
      </c>
      <c r="D6" s="138">
        <f t="shared" ref="D6:D13" si="0">C6/$C$14</f>
        <v>7.2340425531914887E-2</v>
      </c>
      <c r="E6" s="138">
        <f t="shared" ref="E6:E13" si="1">D6*100</f>
        <v>7.2340425531914887</v>
      </c>
      <c r="F6" s="134">
        <f>SUM(F5,C6)</f>
        <v>22</v>
      </c>
      <c r="G6" s="138">
        <f t="shared" ref="G6:G13" si="2">F6/$C$14*100</f>
        <v>9.3617021276595747</v>
      </c>
    </row>
    <row r="7" spans="1:7" ht="15" x14ac:dyDescent="0.2">
      <c r="A7" s="133">
        <v>3</v>
      </c>
      <c r="B7" s="136" t="s">
        <v>66</v>
      </c>
      <c r="C7" s="133">
        <v>27</v>
      </c>
      <c r="D7" s="138">
        <f t="shared" si="0"/>
        <v>0.1148936170212766</v>
      </c>
      <c r="E7" s="138">
        <f t="shared" si="1"/>
        <v>11.48936170212766</v>
      </c>
      <c r="F7" s="134">
        <f t="shared" ref="F7:F13" si="3">SUM(F6,C7)</f>
        <v>49</v>
      </c>
      <c r="G7" s="138">
        <f t="shared" si="2"/>
        <v>20.851063829787233</v>
      </c>
    </row>
    <row r="8" spans="1:7" ht="15" x14ac:dyDescent="0.2">
      <c r="A8" s="134">
        <v>4</v>
      </c>
      <c r="B8" s="137" t="s">
        <v>107</v>
      </c>
      <c r="C8" s="134">
        <v>33</v>
      </c>
      <c r="D8" s="138">
        <f t="shared" si="0"/>
        <v>0.14042553191489363</v>
      </c>
      <c r="E8" s="138">
        <f t="shared" si="1"/>
        <v>14.042553191489363</v>
      </c>
      <c r="F8" s="134">
        <f t="shared" si="3"/>
        <v>82</v>
      </c>
      <c r="G8" s="138">
        <f t="shared" si="2"/>
        <v>34.893617021276597</v>
      </c>
    </row>
    <row r="9" spans="1:7" ht="15" x14ac:dyDescent="0.2">
      <c r="A9" s="133">
        <v>5</v>
      </c>
      <c r="B9" s="136" t="s">
        <v>125</v>
      </c>
      <c r="C9" s="133">
        <v>20</v>
      </c>
      <c r="D9" s="138">
        <f t="shared" si="0"/>
        <v>8.5106382978723402E-2</v>
      </c>
      <c r="E9" s="138">
        <f t="shared" si="1"/>
        <v>8.5106382978723403</v>
      </c>
      <c r="F9" s="134">
        <f t="shared" si="3"/>
        <v>102</v>
      </c>
      <c r="G9" s="138">
        <f t="shared" si="2"/>
        <v>43.404255319148938</v>
      </c>
    </row>
    <row r="10" spans="1:7" ht="15" x14ac:dyDescent="0.2">
      <c r="A10" s="134">
        <v>6</v>
      </c>
      <c r="B10" s="137" t="s">
        <v>104</v>
      </c>
      <c r="C10" s="134">
        <v>33</v>
      </c>
      <c r="D10" s="138">
        <f t="shared" si="0"/>
        <v>0.14042553191489363</v>
      </c>
      <c r="E10" s="138">
        <f t="shared" si="1"/>
        <v>14.042553191489363</v>
      </c>
      <c r="F10" s="134">
        <f t="shared" si="3"/>
        <v>135</v>
      </c>
      <c r="G10" s="138">
        <f t="shared" si="2"/>
        <v>57.446808510638306</v>
      </c>
    </row>
    <row r="11" spans="1:7" ht="15" x14ac:dyDescent="0.2">
      <c r="A11" s="133">
        <v>7</v>
      </c>
      <c r="B11" s="136" t="s">
        <v>136</v>
      </c>
      <c r="C11" s="133">
        <v>18</v>
      </c>
      <c r="D11" s="138">
        <f t="shared" si="0"/>
        <v>7.6595744680851063E-2</v>
      </c>
      <c r="E11" s="138">
        <f t="shared" si="1"/>
        <v>7.6595744680851059</v>
      </c>
      <c r="F11" s="134">
        <f t="shared" si="3"/>
        <v>153</v>
      </c>
      <c r="G11" s="138">
        <f t="shared" si="2"/>
        <v>65.106382978723403</v>
      </c>
    </row>
    <row r="12" spans="1:7" ht="15" x14ac:dyDescent="0.2">
      <c r="A12" s="134">
        <v>8</v>
      </c>
      <c r="B12" s="137" t="s">
        <v>47</v>
      </c>
      <c r="C12" s="134">
        <v>37</v>
      </c>
      <c r="D12" s="138">
        <f t="shared" si="0"/>
        <v>0.1574468085106383</v>
      </c>
      <c r="E12" s="138">
        <f t="shared" si="1"/>
        <v>15.74468085106383</v>
      </c>
      <c r="F12" s="134">
        <f t="shared" si="3"/>
        <v>190</v>
      </c>
      <c r="G12" s="138">
        <f t="shared" si="2"/>
        <v>80.851063829787222</v>
      </c>
    </row>
    <row r="13" spans="1:7" ht="15.75" thickBot="1" x14ac:dyDescent="0.25">
      <c r="A13" s="133">
        <v>9</v>
      </c>
      <c r="B13" s="136" t="s">
        <v>17</v>
      </c>
      <c r="C13" s="133">
        <v>45</v>
      </c>
      <c r="D13" s="138">
        <f t="shared" si="0"/>
        <v>0.19148936170212766</v>
      </c>
      <c r="E13" s="138">
        <f t="shared" si="1"/>
        <v>19.148936170212767</v>
      </c>
      <c r="F13" s="134">
        <f t="shared" si="3"/>
        <v>235</v>
      </c>
      <c r="G13" s="138">
        <f t="shared" si="2"/>
        <v>100</v>
      </c>
    </row>
    <row r="14" spans="1:7" ht="15.75" thickBot="1" x14ac:dyDescent="0.25">
      <c r="A14" s="135"/>
      <c r="B14" s="135" t="s">
        <v>433</v>
      </c>
      <c r="C14" s="135">
        <v>235</v>
      </c>
      <c r="D14" s="139">
        <f>SUM(D5:D13)</f>
        <v>1</v>
      </c>
      <c r="E14" s="139">
        <f>SUM(E5:E13)</f>
        <v>100</v>
      </c>
      <c r="F14" s="135">
        <v>235</v>
      </c>
      <c r="G14" s="135" t="s">
        <v>553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31E48-F478-4B73-8454-8D7A58A02489}">
  <dimension ref="A3:G8"/>
  <sheetViews>
    <sheetView workbookViewId="0">
      <selection activeCell="I5" sqref="I5"/>
    </sheetView>
  </sheetViews>
  <sheetFormatPr baseColWidth="10" defaultRowHeight="12.75" x14ac:dyDescent="0.2"/>
  <sheetData>
    <row r="3" spans="1:7" ht="13.5" thickBot="1" x14ac:dyDescent="0.25"/>
    <row r="4" spans="1:7" ht="30.75" thickBot="1" x14ac:dyDescent="0.25">
      <c r="A4" s="121" t="s">
        <v>463</v>
      </c>
      <c r="B4" s="121" t="s">
        <v>464</v>
      </c>
      <c r="C4" s="121" t="s">
        <v>548</v>
      </c>
      <c r="D4" s="121" t="s">
        <v>549</v>
      </c>
      <c r="E4" s="121" t="s">
        <v>550</v>
      </c>
      <c r="F4" s="121" t="s">
        <v>551</v>
      </c>
      <c r="G4" s="121" t="s">
        <v>552</v>
      </c>
    </row>
    <row r="5" spans="1:7" ht="15" x14ac:dyDescent="0.2">
      <c r="A5" s="122">
        <v>1</v>
      </c>
      <c r="B5" s="123" t="s">
        <v>18</v>
      </c>
      <c r="C5" s="122">
        <v>154</v>
      </c>
      <c r="D5" s="127">
        <f>C5/$C$8</f>
        <v>0.65531914893617016</v>
      </c>
      <c r="E5" s="127">
        <f>D5*100</f>
        <v>65.531914893617014</v>
      </c>
      <c r="F5" s="122">
        <v>154</v>
      </c>
      <c r="G5" s="127">
        <f>F5/$C$8*100</f>
        <v>65.531914893617014</v>
      </c>
    </row>
    <row r="6" spans="1:7" ht="15" x14ac:dyDescent="0.2">
      <c r="A6" s="124">
        <v>2</v>
      </c>
      <c r="B6" s="125" t="s">
        <v>44</v>
      </c>
      <c r="C6" s="124">
        <v>75</v>
      </c>
      <c r="D6" s="127">
        <f>C6/$C$8</f>
        <v>0.31914893617021278</v>
      </c>
      <c r="E6" s="127">
        <f t="shared" ref="E6:E7" si="0">D6*100</f>
        <v>31.914893617021278</v>
      </c>
      <c r="F6" s="124">
        <f>SUM(F5,C6)</f>
        <v>229</v>
      </c>
      <c r="G6" s="127">
        <f>F6/$C$8*100</f>
        <v>97.446808510638292</v>
      </c>
    </row>
    <row r="7" spans="1:7" ht="30.75" thickBot="1" x14ac:dyDescent="0.25">
      <c r="A7" s="122">
        <v>3</v>
      </c>
      <c r="B7" s="123" t="s">
        <v>122</v>
      </c>
      <c r="C7" s="122">
        <v>6</v>
      </c>
      <c r="D7" s="127">
        <f>C7/$C$8</f>
        <v>2.553191489361702E-2</v>
      </c>
      <c r="E7" s="127">
        <f t="shared" si="0"/>
        <v>2.5531914893617018</v>
      </c>
      <c r="F7" s="124">
        <f>SUM(F6,C7)</f>
        <v>235</v>
      </c>
      <c r="G7" s="127">
        <f>F7/$C$8*100</f>
        <v>100</v>
      </c>
    </row>
    <row r="8" spans="1:7" ht="15.75" thickBot="1" x14ac:dyDescent="0.25">
      <c r="A8" s="126"/>
      <c r="B8" s="126" t="s">
        <v>433</v>
      </c>
      <c r="C8" s="126">
        <v>235</v>
      </c>
      <c r="D8" s="126">
        <f>SUM(D5:D7)</f>
        <v>1</v>
      </c>
      <c r="E8" s="131">
        <f>SUM(E5:E7)</f>
        <v>100</v>
      </c>
      <c r="F8" s="126">
        <v>235</v>
      </c>
      <c r="G8" s="126" t="s">
        <v>553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7E067-BC8D-4329-817C-42781351BBCB}">
  <dimension ref="A3:G9"/>
  <sheetViews>
    <sheetView workbookViewId="0">
      <selection activeCell="I10" sqref="I10"/>
    </sheetView>
  </sheetViews>
  <sheetFormatPr baseColWidth="10" defaultRowHeight="12.75" x14ac:dyDescent="0.2"/>
  <sheetData>
    <row r="3" spans="1:7" ht="13.5" thickBot="1" x14ac:dyDescent="0.25"/>
    <row r="4" spans="1:7" ht="30.75" thickBot="1" x14ac:dyDescent="0.25">
      <c r="A4" s="121" t="s">
        <v>463</v>
      </c>
      <c r="B4" s="121" t="s">
        <v>464</v>
      </c>
      <c r="C4" s="121" t="s">
        <v>548</v>
      </c>
      <c r="D4" s="121" t="s">
        <v>549</v>
      </c>
      <c r="E4" s="121" t="s">
        <v>550</v>
      </c>
      <c r="F4" s="121" t="s">
        <v>551</v>
      </c>
      <c r="G4" s="121" t="s">
        <v>552</v>
      </c>
    </row>
    <row r="5" spans="1:7" ht="15" x14ac:dyDescent="0.2">
      <c r="A5" s="122">
        <v>1</v>
      </c>
      <c r="B5" s="123" t="s">
        <v>111</v>
      </c>
      <c r="C5" s="122">
        <v>80</v>
      </c>
      <c r="D5" s="122">
        <f>C5/$C$9</f>
        <v>0.34042553191489361</v>
      </c>
      <c r="E5" s="127">
        <f>D5*100</f>
        <v>34.042553191489361</v>
      </c>
      <c r="F5" s="122">
        <v>80</v>
      </c>
      <c r="G5" s="127">
        <f>F5/$C$9*100</f>
        <v>34.042553191489361</v>
      </c>
    </row>
    <row r="6" spans="1:7" ht="15" x14ac:dyDescent="0.2">
      <c r="A6" s="124">
        <v>2</v>
      </c>
      <c r="B6" s="125" t="s">
        <v>19</v>
      </c>
      <c r="C6" s="124">
        <v>131</v>
      </c>
      <c r="D6" s="122">
        <f t="shared" ref="D6:D8" si="0">C6/$C$9</f>
        <v>0.55744680851063833</v>
      </c>
      <c r="E6" s="127">
        <f t="shared" ref="E6:E8" si="1">D6*100</f>
        <v>55.744680851063833</v>
      </c>
      <c r="F6" s="124">
        <f>SUM(F5,C6)</f>
        <v>211</v>
      </c>
      <c r="G6" s="127">
        <f t="shared" ref="G6:G8" si="2">F6/$C$9*100</f>
        <v>89.787234042553195</v>
      </c>
    </row>
    <row r="7" spans="1:7" ht="15" x14ac:dyDescent="0.2">
      <c r="A7" s="122">
        <v>3</v>
      </c>
      <c r="B7" s="123" t="s">
        <v>27</v>
      </c>
      <c r="C7" s="122">
        <v>21</v>
      </c>
      <c r="D7" s="122">
        <f t="shared" si="0"/>
        <v>8.9361702127659579E-2</v>
      </c>
      <c r="E7" s="127">
        <f t="shared" si="1"/>
        <v>8.9361702127659584</v>
      </c>
      <c r="F7" s="124">
        <f t="shared" ref="F7:F8" si="3">SUM(F6,C7)</f>
        <v>232</v>
      </c>
      <c r="G7" s="127">
        <f t="shared" si="2"/>
        <v>98.723404255319153</v>
      </c>
    </row>
    <row r="8" spans="1:7" ht="30.75" thickBot="1" x14ac:dyDescent="0.25">
      <c r="A8" s="124">
        <v>4</v>
      </c>
      <c r="B8" s="125" t="s">
        <v>108</v>
      </c>
      <c r="C8" s="124">
        <v>3</v>
      </c>
      <c r="D8" s="122">
        <f>C8/$C$9</f>
        <v>1.276595744680851E-2</v>
      </c>
      <c r="E8" s="127">
        <f t="shared" si="1"/>
        <v>1.2765957446808509</v>
      </c>
      <c r="F8" s="124">
        <f t="shared" si="3"/>
        <v>235</v>
      </c>
      <c r="G8" s="127">
        <f t="shared" si="2"/>
        <v>100</v>
      </c>
    </row>
    <row r="9" spans="1:7" ht="15.75" thickBot="1" x14ac:dyDescent="0.25">
      <c r="A9" s="126"/>
      <c r="B9" s="126" t="s">
        <v>433</v>
      </c>
      <c r="C9" s="126">
        <v>235</v>
      </c>
      <c r="D9" s="126">
        <f>SUM(D5:D8)</f>
        <v>1</v>
      </c>
      <c r="E9" s="131">
        <f>SUM(E5:E8)</f>
        <v>100</v>
      </c>
      <c r="F9" s="126">
        <v>235</v>
      </c>
      <c r="G9" s="126" t="s">
        <v>553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BF381-25B6-44AE-B4EA-3AAA7AC9099C}">
  <dimension ref="A1:M11"/>
  <sheetViews>
    <sheetView workbookViewId="0">
      <selection activeCell="G6" sqref="G6"/>
    </sheetView>
  </sheetViews>
  <sheetFormatPr baseColWidth="10" defaultRowHeight="12.75" x14ac:dyDescent="0.2"/>
  <cols>
    <col min="11" max="11" width="11.28515625" bestFit="1" customWidth="1"/>
    <col min="12" max="12" width="11.85546875" bestFit="1" customWidth="1"/>
    <col min="13" max="13" width="10.42578125" bestFit="1" customWidth="1"/>
  </cols>
  <sheetData>
    <row r="1" spans="1:13" x14ac:dyDescent="0.2">
      <c r="A1" s="94"/>
      <c r="B1" s="128"/>
      <c r="C1" s="128"/>
      <c r="D1" s="128"/>
    </row>
    <row r="3" spans="1:13" ht="13.5" thickBot="1" x14ac:dyDescent="0.25"/>
    <row r="4" spans="1:13" ht="39" thickBot="1" x14ac:dyDescent="0.25">
      <c r="B4" s="121" t="s">
        <v>463</v>
      </c>
      <c r="C4" s="121" t="s">
        <v>464</v>
      </c>
      <c r="D4" s="121" t="s">
        <v>548</v>
      </c>
      <c r="E4" s="121" t="s">
        <v>549</v>
      </c>
      <c r="F4" s="121" t="s">
        <v>550</v>
      </c>
      <c r="G4" s="121" t="s">
        <v>551</v>
      </c>
      <c r="H4" s="121" t="s">
        <v>552</v>
      </c>
      <c r="K4" s="129" t="s">
        <v>554</v>
      </c>
      <c r="L4" s="129" t="s">
        <v>555</v>
      </c>
      <c r="M4" s="129" t="s">
        <v>556</v>
      </c>
    </row>
    <row r="5" spans="1:13" ht="38.25" x14ac:dyDescent="0.2">
      <c r="B5" s="122">
        <v>1</v>
      </c>
      <c r="C5" s="123" t="s">
        <v>20</v>
      </c>
      <c r="D5" s="122">
        <v>53</v>
      </c>
      <c r="E5" s="122">
        <f>D5/$D$11</f>
        <v>0.22553191489361701</v>
      </c>
      <c r="F5" s="127">
        <f>E5*100</f>
        <v>22.553191489361701</v>
      </c>
      <c r="G5" s="122">
        <v>53</v>
      </c>
      <c r="H5" s="127">
        <f>G5/$D$11*100</f>
        <v>22.553191489361701</v>
      </c>
      <c r="K5" s="130" t="s">
        <v>557</v>
      </c>
      <c r="L5" s="58">
        <v>235</v>
      </c>
      <c r="M5" s="58">
        <v>6</v>
      </c>
    </row>
    <row r="6" spans="1:13" ht="15" x14ac:dyDescent="0.2">
      <c r="B6" s="124">
        <v>2</v>
      </c>
      <c r="C6" s="125" t="s">
        <v>28</v>
      </c>
      <c r="D6" s="124">
        <v>79</v>
      </c>
      <c r="E6" s="122">
        <f>D6/$D$11</f>
        <v>0.33617021276595743</v>
      </c>
      <c r="F6" s="127">
        <f>E6*100</f>
        <v>33.617021276595743</v>
      </c>
      <c r="G6" s="124">
        <f>SUM(G5,D6)</f>
        <v>132</v>
      </c>
      <c r="H6" s="127">
        <f>G6/$D$11*100</f>
        <v>56.170212765957451</v>
      </c>
    </row>
    <row r="7" spans="1:13" ht="15" x14ac:dyDescent="0.2">
      <c r="B7" s="122">
        <v>3</v>
      </c>
      <c r="C7" s="123" t="s">
        <v>56</v>
      </c>
      <c r="D7" s="122">
        <v>60</v>
      </c>
      <c r="E7" s="122">
        <f t="shared" ref="E7:E10" si="0">D7/$D$11</f>
        <v>0.25531914893617019</v>
      </c>
      <c r="F7" s="127">
        <f t="shared" ref="F7:F10" si="1">E7*100</f>
        <v>25.531914893617021</v>
      </c>
      <c r="G7" s="124">
        <f>SUM(G6,D7)</f>
        <v>192</v>
      </c>
      <c r="H7" s="127">
        <f t="shared" ref="H7:H10" si="2">G7/$D$11*100</f>
        <v>81.702127659574458</v>
      </c>
    </row>
    <row r="8" spans="1:13" ht="15" x14ac:dyDescent="0.2">
      <c r="B8" s="124">
        <v>4</v>
      </c>
      <c r="C8" s="125" t="s">
        <v>36</v>
      </c>
      <c r="D8" s="124">
        <v>35</v>
      </c>
      <c r="E8" s="122">
        <f t="shared" si="0"/>
        <v>0.14893617021276595</v>
      </c>
      <c r="F8" s="127">
        <f t="shared" si="1"/>
        <v>14.893617021276595</v>
      </c>
      <c r="G8" s="124">
        <f t="shared" ref="G8:G10" si="3">SUM(G7,D8)</f>
        <v>227</v>
      </c>
      <c r="H8" s="127">
        <f t="shared" si="2"/>
        <v>96.595744680851055</v>
      </c>
    </row>
    <row r="9" spans="1:13" ht="15" x14ac:dyDescent="0.2">
      <c r="B9" s="122">
        <v>5</v>
      </c>
      <c r="C9" s="123" t="s">
        <v>267</v>
      </c>
      <c r="D9" s="122">
        <v>5</v>
      </c>
      <c r="E9" s="122">
        <f t="shared" si="0"/>
        <v>2.1276595744680851E-2</v>
      </c>
      <c r="F9" s="127">
        <f t="shared" si="1"/>
        <v>2.1276595744680851</v>
      </c>
      <c r="G9" s="124">
        <f t="shared" si="3"/>
        <v>232</v>
      </c>
      <c r="H9" s="127">
        <f t="shared" si="2"/>
        <v>98.723404255319153</v>
      </c>
    </row>
    <row r="10" spans="1:13" ht="30.75" thickBot="1" x14ac:dyDescent="0.25">
      <c r="B10" s="124">
        <v>6</v>
      </c>
      <c r="C10" s="125" t="s">
        <v>39</v>
      </c>
      <c r="D10" s="124">
        <v>3</v>
      </c>
      <c r="E10" s="122">
        <f t="shared" si="0"/>
        <v>1.276595744680851E-2</v>
      </c>
      <c r="F10" s="127">
        <f t="shared" si="1"/>
        <v>1.2765957446808509</v>
      </c>
      <c r="G10" s="124">
        <f t="shared" si="3"/>
        <v>235</v>
      </c>
      <c r="H10" s="127">
        <f t="shared" si="2"/>
        <v>100</v>
      </c>
    </row>
    <row r="11" spans="1:13" ht="15.75" thickBot="1" x14ac:dyDescent="0.25">
      <c r="B11" s="126"/>
      <c r="C11" s="126" t="s">
        <v>433</v>
      </c>
      <c r="D11" s="126">
        <v>235</v>
      </c>
      <c r="E11" s="126">
        <f>SUM(E5:E10)</f>
        <v>0.99999999999999989</v>
      </c>
      <c r="F11" s="126">
        <f>SUM(F5:F10)</f>
        <v>100</v>
      </c>
      <c r="G11" s="126">
        <v>235</v>
      </c>
      <c r="H11" s="126">
        <v>100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716B6-E68D-46A2-B8E9-EA9F464189AB}">
  <dimension ref="A3:G9"/>
  <sheetViews>
    <sheetView topLeftCell="A2" workbookViewId="0">
      <selection activeCell="G6" sqref="G6"/>
    </sheetView>
  </sheetViews>
  <sheetFormatPr baseColWidth="10" defaultRowHeight="12.75" x14ac:dyDescent="0.2"/>
  <sheetData>
    <row r="3" spans="1:7" ht="13.5" thickBot="1" x14ac:dyDescent="0.25"/>
    <row r="4" spans="1:7" ht="30.75" thickBot="1" x14ac:dyDescent="0.25">
      <c r="A4" s="121" t="s">
        <v>463</v>
      </c>
      <c r="B4" s="121" t="s">
        <v>464</v>
      </c>
      <c r="C4" s="121" t="s">
        <v>548</v>
      </c>
      <c r="D4" s="121" t="s">
        <v>549</v>
      </c>
      <c r="E4" s="121" t="s">
        <v>550</v>
      </c>
      <c r="F4" s="121" t="s">
        <v>551</v>
      </c>
      <c r="G4" s="121" t="s">
        <v>552</v>
      </c>
    </row>
    <row r="5" spans="1:7" ht="15" x14ac:dyDescent="0.2">
      <c r="A5" s="122">
        <v>1</v>
      </c>
      <c r="B5" s="123" t="s">
        <v>91</v>
      </c>
      <c r="C5" s="122">
        <v>46</v>
      </c>
      <c r="D5" s="122">
        <f>C5/$C$9</f>
        <v>0.19574468085106383</v>
      </c>
      <c r="E5" s="127">
        <f>D5*100</f>
        <v>19.574468085106382</v>
      </c>
      <c r="F5" s="122">
        <v>46</v>
      </c>
      <c r="G5" s="127">
        <f>F5/$C$9*100</f>
        <v>19.574468085106382</v>
      </c>
    </row>
    <row r="6" spans="1:7" ht="15" x14ac:dyDescent="0.2">
      <c r="A6" s="124">
        <v>2</v>
      </c>
      <c r="B6" s="125" t="s">
        <v>21</v>
      </c>
      <c r="C6" s="124">
        <v>84</v>
      </c>
      <c r="D6" s="122">
        <f t="shared" ref="D6:D8" si="0">C6/$C$9</f>
        <v>0.35744680851063831</v>
      </c>
      <c r="E6" s="127">
        <f t="shared" ref="E6:E8" si="1">D6*100</f>
        <v>35.744680851063833</v>
      </c>
      <c r="F6" s="124">
        <f>SUM(F5,C6)</f>
        <v>130</v>
      </c>
      <c r="G6" s="127">
        <f>F6/$C$9*100</f>
        <v>55.319148936170215</v>
      </c>
    </row>
    <row r="7" spans="1:7" ht="30" x14ac:dyDescent="0.2">
      <c r="A7" s="122">
        <v>3</v>
      </c>
      <c r="B7" s="123" t="s">
        <v>48</v>
      </c>
      <c r="C7" s="122">
        <v>67</v>
      </c>
      <c r="D7" s="122">
        <f t="shared" si="0"/>
        <v>0.28510638297872343</v>
      </c>
      <c r="E7" s="127">
        <f t="shared" si="1"/>
        <v>28.510638297872344</v>
      </c>
      <c r="F7" s="124">
        <f t="shared" ref="F7:F8" si="2">SUM(F6,C7)</f>
        <v>197</v>
      </c>
      <c r="G7" s="127">
        <f>F7/$C$9*100</f>
        <v>83.829787234042556</v>
      </c>
    </row>
    <row r="8" spans="1:7" ht="30.75" thickBot="1" x14ac:dyDescent="0.25">
      <c r="A8" s="124">
        <v>4</v>
      </c>
      <c r="B8" s="125" t="s">
        <v>29</v>
      </c>
      <c r="C8" s="124">
        <v>38</v>
      </c>
      <c r="D8" s="122">
        <f t="shared" si="0"/>
        <v>0.16170212765957448</v>
      </c>
      <c r="E8" s="127">
        <f t="shared" si="1"/>
        <v>16.170212765957448</v>
      </c>
      <c r="F8" s="124">
        <f t="shared" si="2"/>
        <v>235</v>
      </c>
      <c r="G8" s="127">
        <f>F8/$C$9*100</f>
        <v>100</v>
      </c>
    </row>
    <row r="9" spans="1:7" ht="15.75" thickBot="1" x14ac:dyDescent="0.25">
      <c r="A9" s="126"/>
      <c r="B9" s="126" t="s">
        <v>433</v>
      </c>
      <c r="C9" s="126">
        <v>235</v>
      </c>
      <c r="D9" s="126">
        <f>SUM(D5:D8)</f>
        <v>1</v>
      </c>
      <c r="E9" s="131">
        <f>SUM(E5:E8)</f>
        <v>100</v>
      </c>
      <c r="F9" s="126">
        <v>235</v>
      </c>
      <c r="G9" s="126" t="s">
        <v>553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0354-7D63-4147-BB4F-E0219AF851BE}">
  <dimension ref="A1:L236"/>
  <sheetViews>
    <sheetView topLeftCell="C1" workbookViewId="0">
      <selection activeCell="D14" sqref="D14"/>
    </sheetView>
  </sheetViews>
  <sheetFormatPr baseColWidth="10" defaultRowHeight="12.75" x14ac:dyDescent="0.2"/>
  <cols>
    <col min="1" max="1" width="37.42578125" bestFit="1" customWidth="1"/>
    <col min="2" max="2" width="28" bestFit="1" customWidth="1"/>
    <col min="3" max="3" width="21.5703125" bestFit="1" customWidth="1"/>
    <col min="4" max="4" width="38" customWidth="1"/>
    <col min="7" max="7" width="18.85546875" bestFit="1" customWidth="1"/>
  </cols>
  <sheetData>
    <row r="1" spans="1:12" x14ac:dyDescent="0.2">
      <c r="A1" s="6" t="s">
        <v>431</v>
      </c>
      <c r="B1" s="6" t="s">
        <v>432</v>
      </c>
      <c r="C1" s="6" t="s">
        <v>438</v>
      </c>
      <c r="D1" s="6" t="s">
        <v>437</v>
      </c>
      <c r="G1" s="8" t="s">
        <v>434</v>
      </c>
      <c r="K1" s="2" t="s">
        <v>6</v>
      </c>
      <c r="L1" t="s">
        <v>474</v>
      </c>
    </row>
    <row r="2" spans="1:12" x14ac:dyDescent="0.2">
      <c r="A2" s="6">
        <v>1</v>
      </c>
      <c r="B2" s="6">
        <v>11</v>
      </c>
      <c r="C2" s="6">
        <f t="shared" ref="C2:C6" si="0" xml:space="preserve"> A2*B2</f>
        <v>11</v>
      </c>
      <c r="D2" s="13">
        <f t="shared" ref="D2:D7" si="1">B2/$B$7*100</f>
        <v>4.6808510638297873</v>
      </c>
      <c r="G2" s="8">
        <f>SUM(C2:C6)</f>
        <v>713</v>
      </c>
      <c r="K2" s="5">
        <v>1</v>
      </c>
    </row>
    <row r="3" spans="1:12" x14ac:dyDescent="0.2">
      <c r="A3" s="6">
        <v>2</v>
      </c>
      <c r="B3" s="6">
        <v>48</v>
      </c>
      <c r="C3" s="6">
        <f t="shared" si="0"/>
        <v>96</v>
      </c>
      <c r="D3" s="13">
        <f t="shared" si="1"/>
        <v>20.425531914893615</v>
      </c>
      <c r="F3" s="7" t="s">
        <v>435</v>
      </c>
      <c r="G3" s="7">
        <f>G2/235</f>
        <v>3.0340425531914894</v>
      </c>
      <c r="K3" s="5">
        <v>1</v>
      </c>
    </row>
    <row r="4" spans="1:12" x14ac:dyDescent="0.2">
      <c r="A4" s="6">
        <v>3</v>
      </c>
      <c r="B4" s="6">
        <v>116</v>
      </c>
      <c r="C4" s="6">
        <f t="shared" si="0"/>
        <v>348</v>
      </c>
      <c r="D4" s="13">
        <f t="shared" si="1"/>
        <v>49.361702127659576</v>
      </c>
      <c r="K4" s="5">
        <v>1</v>
      </c>
    </row>
    <row r="5" spans="1:12" x14ac:dyDescent="0.2">
      <c r="A5" s="6">
        <v>4</v>
      </c>
      <c r="B5" s="6">
        <v>42</v>
      </c>
      <c r="C5" s="6">
        <f t="shared" si="0"/>
        <v>168</v>
      </c>
      <c r="D5" s="13">
        <f t="shared" si="1"/>
        <v>17.872340425531917</v>
      </c>
      <c r="K5" s="5">
        <v>1</v>
      </c>
    </row>
    <row r="6" spans="1:12" x14ac:dyDescent="0.2">
      <c r="A6" s="6">
        <v>5</v>
      </c>
      <c r="B6" s="6">
        <v>18</v>
      </c>
      <c r="C6" s="6">
        <f t="shared" si="0"/>
        <v>90</v>
      </c>
      <c r="D6" s="13">
        <f t="shared" si="1"/>
        <v>7.6595744680851059</v>
      </c>
      <c r="G6" s="21" t="s">
        <v>470</v>
      </c>
      <c r="I6" s="6"/>
      <c r="K6" s="5">
        <v>1</v>
      </c>
    </row>
    <row r="7" spans="1:12" x14ac:dyDescent="0.2">
      <c r="A7" t="s">
        <v>433</v>
      </c>
      <c r="B7" s="5">
        <f xml:space="preserve"> SUM(B2:B6)</f>
        <v>235</v>
      </c>
      <c r="C7" s="6"/>
      <c r="D7" s="6">
        <f t="shared" si="1"/>
        <v>100</v>
      </c>
      <c r="G7" s="6">
        <f>MODE(K2:K236)</f>
        <v>3</v>
      </c>
      <c r="I7" s="21" t="s">
        <v>472</v>
      </c>
      <c r="K7" s="5">
        <v>1</v>
      </c>
    </row>
    <row r="8" spans="1:12" x14ac:dyDescent="0.2">
      <c r="I8" s="6">
        <f>MAX(K2:K235)-MIN(K2:K235)</f>
        <v>4</v>
      </c>
      <c r="K8" s="5">
        <v>1</v>
      </c>
    </row>
    <row r="9" spans="1:12" x14ac:dyDescent="0.2">
      <c r="G9" s="21" t="s">
        <v>469</v>
      </c>
      <c r="K9" s="5">
        <v>1</v>
      </c>
    </row>
    <row r="10" spans="1:12" x14ac:dyDescent="0.2">
      <c r="B10" s="6"/>
      <c r="G10" s="6">
        <f>MEDIAN(K2:K235)</f>
        <v>3</v>
      </c>
      <c r="K10" s="5">
        <v>1</v>
      </c>
    </row>
    <row r="11" spans="1:12" x14ac:dyDescent="0.2">
      <c r="A11" s="7" t="s">
        <v>436</v>
      </c>
      <c r="B11" s="21" t="s">
        <v>468</v>
      </c>
      <c r="G11" s="21" t="s">
        <v>471</v>
      </c>
      <c r="K11" s="5">
        <v>1</v>
      </c>
    </row>
    <row r="12" spans="1:12" x14ac:dyDescent="0.2">
      <c r="A12" s="14" cm="1">
        <f t="array" ref="A12">SQRT(SUMPRODUCT(B2:B6,(A2:A6-$G$3)^2)/(SUM(B2:B6)-1))</f>
        <v>0.93764493939311688</v>
      </c>
      <c r="B12" s="13">
        <f>G2/B7</f>
        <v>3.0340425531914894</v>
      </c>
      <c r="G12" s="6">
        <f>_xlfn.VAR.S(K2:K235)</f>
        <v>0.86629250577748418</v>
      </c>
      <c r="K12" s="5">
        <v>1</v>
      </c>
    </row>
    <row r="13" spans="1:12" x14ac:dyDescent="0.2">
      <c r="B13" s="6"/>
      <c r="K13" s="5">
        <v>2</v>
      </c>
    </row>
    <row r="14" spans="1:12" x14ac:dyDescent="0.2">
      <c r="B14" s="6"/>
      <c r="K14" s="5">
        <v>2</v>
      </c>
    </row>
    <row r="15" spans="1:12" x14ac:dyDescent="0.2">
      <c r="B15" s="21" t="s">
        <v>473</v>
      </c>
      <c r="K15" s="5">
        <v>2</v>
      </c>
    </row>
    <row r="16" spans="1:12" x14ac:dyDescent="0.2">
      <c r="B16" s="13">
        <f>(A12/B12)*100</f>
        <v>30.904145968777346</v>
      </c>
      <c r="K16" s="5">
        <v>2</v>
      </c>
    </row>
    <row r="17" spans="2:11" x14ac:dyDescent="0.2">
      <c r="B17" s="6"/>
      <c r="K17" s="5">
        <v>2</v>
      </c>
    </row>
    <row r="18" spans="2:11" x14ac:dyDescent="0.2">
      <c r="K18" s="5">
        <v>2</v>
      </c>
    </row>
    <row r="19" spans="2:11" x14ac:dyDescent="0.2">
      <c r="K19" s="5">
        <v>2</v>
      </c>
    </row>
    <row r="20" spans="2:11" x14ac:dyDescent="0.2">
      <c r="K20" s="5">
        <v>2</v>
      </c>
    </row>
    <row r="21" spans="2:11" x14ac:dyDescent="0.2">
      <c r="K21" s="5">
        <v>2</v>
      </c>
    </row>
    <row r="22" spans="2:11" x14ac:dyDescent="0.2">
      <c r="K22" s="5">
        <v>2</v>
      </c>
    </row>
    <row r="23" spans="2:11" x14ac:dyDescent="0.2">
      <c r="K23" s="5">
        <v>2</v>
      </c>
    </row>
    <row r="24" spans="2:11" x14ac:dyDescent="0.2">
      <c r="K24" s="5">
        <v>2</v>
      </c>
    </row>
    <row r="25" spans="2:11" x14ac:dyDescent="0.2">
      <c r="K25" s="5">
        <v>2</v>
      </c>
    </row>
    <row r="26" spans="2:11" x14ac:dyDescent="0.2">
      <c r="K26" s="5">
        <v>2</v>
      </c>
    </row>
    <row r="27" spans="2:11" x14ac:dyDescent="0.2">
      <c r="K27" s="5">
        <v>2</v>
      </c>
    </row>
    <row r="28" spans="2:11" x14ac:dyDescent="0.2">
      <c r="K28" s="5">
        <v>2</v>
      </c>
    </row>
    <row r="29" spans="2:11" x14ac:dyDescent="0.2">
      <c r="K29" s="5">
        <v>2</v>
      </c>
    </row>
    <row r="30" spans="2:11" x14ac:dyDescent="0.2">
      <c r="K30" s="5">
        <v>2</v>
      </c>
    </row>
    <row r="31" spans="2:11" x14ac:dyDescent="0.2">
      <c r="K31" s="5">
        <v>2</v>
      </c>
    </row>
    <row r="32" spans="2:11" x14ac:dyDescent="0.2">
      <c r="K32" s="5">
        <v>2</v>
      </c>
    </row>
    <row r="33" spans="11:11" x14ac:dyDescent="0.2">
      <c r="K33" s="5">
        <v>2</v>
      </c>
    </row>
    <row r="34" spans="11:11" x14ac:dyDescent="0.2">
      <c r="K34" s="5">
        <v>2</v>
      </c>
    </row>
    <row r="35" spans="11:11" x14ac:dyDescent="0.2">
      <c r="K35" s="5">
        <v>2</v>
      </c>
    </row>
    <row r="36" spans="11:11" x14ac:dyDescent="0.2">
      <c r="K36" s="5">
        <v>2</v>
      </c>
    </row>
    <row r="37" spans="11:11" x14ac:dyDescent="0.2">
      <c r="K37" s="5">
        <v>2</v>
      </c>
    </row>
    <row r="38" spans="11:11" x14ac:dyDescent="0.2">
      <c r="K38" s="5">
        <v>2</v>
      </c>
    </row>
    <row r="39" spans="11:11" x14ac:dyDescent="0.2">
      <c r="K39" s="5">
        <v>2</v>
      </c>
    </row>
    <row r="40" spans="11:11" x14ac:dyDescent="0.2">
      <c r="K40" s="5">
        <v>2</v>
      </c>
    </row>
    <row r="41" spans="11:11" x14ac:dyDescent="0.2">
      <c r="K41" s="5">
        <v>2</v>
      </c>
    </row>
    <row r="42" spans="11:11" x14ac:dyDescent="0.2">
      <c r="K42" s="5">
        <v>2</v>
      </c>
    </row>
    <row r="43" spans="11:11" x14ac:dyDescent="0.2">
      <c r="K43" s="5">
        <v>2</v>
      </c>
    </row>
    <row r="44" spans="11:11" x14ac:dyDescent="0.2">
      <c r="K44" s="5">
        <v>2</v>
      </c>
    </row>
    <row r="45" spans="11:11" x14ac:dyDescent="0.2">
      <c r="K45" s="5">
        <v>2</v>
      </c>
    </row>
    <row r="46" spans="11:11" x14ac:dyDescent="0.2">
      <c r="K46" s="5">
        <v>2</v>
      </c>
    </row>
    <row r="47" spans="11:11" x14ac:dyDescent="0.2">
      <c r="K47" s="5">
        <v>2</v>
      </c>
    </row>
    <row r="48" spans="11:11" x14ac:dyDescent="0.2">
      <c r="K48" s="5">
        <v>2</v>
      </c>
    </row>
    <row r="49" spans="11:11" x14ac:dyDescent="0.2">
      <c r="K49" s="5">
        <v>2</v>
      </c>
    </row>
    <row r="50" spans="11:11" x14ac:dyDescent="0.2">
      <c r="K50" s="5">
        <v>2</v>
      </c>
    </row>
    <row r="51" spans="11:11" x14ac:dyDescent="0.2">
      <c r="K51" s="5">
        <v>2</v>
      </c>
    </row>
    <row r="52" spans="11:11" x14ac:dyDescent="0.2">
      <c r="K52" s="5">
        <v>2</v>
      </c>
    </row>
    <row r="53" spans="11:11" x14ac:dyDescent="0.2">
      <c r="K53" s="5">
        <v>2</v>
      </c>
    </row>
    <row r="54" spans="11:11" x14ac:dyDescent="0.2">
      <c r="K54" s="5">
        <v>2</v>
      </c>
    </row>
    <row r="55" spans="11:11" x14ac:dyDescent="0.2">
      <c r="K55" s="5">
        <v>2</v>
      </c>
    </row>
    <row r="56" spans="11:11" x14ac:dyDescent="0.2">
      <c r="K56" s="5">
        <v>2</v>
      </c>
    </row>
    <row r="57" spans="11:11" x14ac:dyDescent="0.2">
      <c r="K57" s="5">
        <v>2</v>
      </c>
    </row>
    <row r="58" spans="11:11" x14ac:dyDescent="0.2">
      <c r="K58" s="5">
        <v>2</v>
      </c>
    </row>
    <row r="59" spans="11:11" x14ac:dyDescent="0.2">
      <c r="K59" s="5">
        <v>2</v>
      </c>
    </row>
    <row r="60" spans="11:11" x14ac:dyDescent="0.2">
      <c r="K60" s="5">
        <v>2</v>
      </c>
    </row>
    <row r="61" spans="11:11" x14ac:dyDescent="0.2">
      <c r="K61" s="5">
        <v>3</v>
      </c>
    </row>
    <row r="62" spans="11:11" x14ac:dyDescent="0.2">
      <c r="K62" s="5">
        <v>3</v>
      </c>
    </row>
    <row r="63" spans="11:11" x14ac:dyDescent="0.2">
      <c r="K63" s="5">
        <v>3</v>
      </c>
    </row>
    <row r="64" spans="11:11" x14ac:dyDescent="0.2">
      <c r="K64" s="5">
        <v>3</v>
      </c>
    </row>
    <row r="65" spans="11:11" x14ac:dyDescent="0.2">
      <c r="K65" s="5">
        <v>3</v>
      </c>
    </row>
    <row r="66" spans="11:11" x14ac:dyDescent="0.2">
      <c r="K66" s="5">
        <v>3</v>
      </c>
    </row>
    <row r="67" spans="11:11" x14ac:dyDescent="0.2">
      <c r="K67" s="5">
        <v>3</v>
      </c>
    </row>
    <row r="68" spans="11:11" x14ac:dyDescent="0.2">
      <c r="K68" s="5">
        <v>3</v>
      </c>
    </row>
    <row r="69" spans="11:11" x14ac:dyDescent="0.2">
      <c r="K69" s="5">
        <v>3</v>
      </c>
    </row>
    <row r="70" spans="11:11" x14ac:dyDescent="0.2">
      <c r="K70" s="5">
        <v>3</v>
      </c>
    </row>
    <row r="71" spans="11:11" x14ac:dyDescent="0.2">
      <c r="K71" s="5">
        <v>3</v>
      </c>
    </row>
    <row r="72" spans="11:11" x14ac:dyDescent="0.2">
      <c r="K72" s="5">
        <v>3</v>
      </c>
    </row>
    <row r="73" spans="11:11" x14ac:dyDescent="0.2">
      <c r="K73" s="5">
        <v>3</v>
      </c>
    </row>
    <row r="74" spans="11:11" x14ac:dyDescent="0.2">
      <c r="K74" s="5">
        <v>3</v>
      </c>
    </row>
    <row r="75" spans="11:11" x14ac:dyDescent="0.2">
      <c r="K75" s="5">
        <v>3</v>
      </c>
    </row>
    <row r="76" spans="11:11" x14ac:dyDescent="0.2">
      <c r="K76" s="5">
        <v>3</v>
      </c>
    </row>
    <row r="77" spans="11:11" x14ac:dyDescent="0.2">
      <c r="K77" s="5">
        <v>3</v>
      </c>
    </row>
    <row r="78" spans="11:11" x14ac:dyDescent="0.2">
      <c r="K78" s="5">
        <v>3</v>
      </c>
    </row>
    <row r="79" spans="11:11" x14ac:dyDescent="0.2">
      <c r="K79" s="5">
        <v>3</v>
      </c>
    </row>
    <row r="80" spans="11:11" x14ac:dyDescent="0.2">
      <c r="K80" s="5">
        <v>3</v>
      </c>
    </row>
    <row r="81" spans="11:11" x14ac:dyDescent="0.2">
      <c r="K81" s="5">
        <v>3</v>
      </c>
    </row>
    <row r="82" spans="11:11" x14ac:dyDescent="0.2">
      <c r="K82" s="5">
        <v>3</v>
      </c>
    </row>
    <row r="83" spans="11:11" x14ac:dyDescent="0.2">
      <c r="K83" s="5">
        <v>3</v>
      </c>
    </row>
    <row r="84" spans="11:11" x14ac:dyDescent="0.2">
      <c r="K84" s="5">
        <v>3</v>
      </c>
    </row>
    <row r="85" spans="11:11" x14ac:dyDescent="0.2">
      <c r="K85" s="5">
        <v>3</v>
      </c>
    </row>
    <row r="86" spans="11:11" x14ac:dyDescent="0.2">
      <c r="K86" s="5">
        <v>3</v>
      </c>
    </row>
    <row r="87" spans="11:11" x14ac:dyDescent="0.2">
      <c r="K87" s="5">
        <v>3</v>
      </c>
    </row>
    <row r="88" spans="11:11" x14ac:dyDescent="0.2">
      <c r="K88" s="5">
        <v>3</v>
      </c>
    </row>
    <row r="89" spans="11:11" x14ac:dyDescent="0.2">
      <c r="K89" s="5">
        <v>3</v>
      </c>
    </row>
    <row r="90" spans="11:11" x14ac:dyDescent="0.2">
      <c r="K90" s="5">
        <v>3</v>
      </c>
    </row>
    <row r="91" spans="11:11" x14ac:dyDescent="0.2">
      <c r="K91" s="5">
        <v>3</v>
      </c>
    </row>
    <row r="92" spans="11:11" x14ac:dyDescent="0.2">
      <c r="K92" s="5">
        <v>3</v>
      </c>
    </row>
    <row r="93" spans="11:11" x14ac:dyDescent="0.2">
      <c r="K93" s="5">
        <v>3</v>
      </c>
    </row>
    <row r="94" spans="11:11" x14ac:dyDescent="0.2">
      <c r="K94" s="5">
        <v>3</v>
      </c>
    </row>
    <row r="95" spans="11:11" x14ac:dyDescent="0.2">
      <c r="K95" s="5">
        <v>3</v>
      </c>
    </row>
    <row r="96" spans="11:11" x14ac:dyDescent="0.2">
      <c r="K96" s="5">
        <v>3</v>
      </c>
    </row>
    <row r="97" spans="11:11" x14ac:dyDescent="0.2">
      <c r="K97" s="5">
        <v>3</v>
      </c>
    </row>
    <row r="98" spans="11:11" x14ac:dyDescent="0.2">
      <c r="K98" s="5">
        <v>3</v>
      </c>
    </row>
    <row r="99" spans="11:11" x14ac:dyDescent="0.2">
      <c r="K99" s="5">
        <v>3</v>
      </c>
    </row>
    <row r="100" spans="11:11" x14ac:dyDescent="0.2">
      <c r="K100" s="5">
        <v>3</v>
      </c>
    </row>
    <row r="101" spans="11:11" x14ac:dyDescent="0.2">
      <c r="K101" s="5">
        <v>3</v>
      </c>
    </row>
    <row r="102" spans="11:11" x14ac:dyDescent="0.2">
      <c r="K102" s="5">
        <v>3</v>
      </c>
    </row>
    <row r="103" spans="11:11" x14ac:dyDescent="0.2">
      <c r="K103" s="5">
        <v>3</v>
      </c>
    </row>
    <row r="104" spans="11:11" x14ac:dyDescent="0.2">
      <c r="K104" s="5">
        <v>3</v>
      </c>
    </row>
    <row r="105" spans="11:11" x14ac:dyDescent="0.2">
      <c r="K105" s="5">
        <v>3</v>
      </c>
    </row>
    <row r="106" spans="11:11" x14ac:dyDescent="0.2">
      <c r="K106" s="5">
        <v>3</v>
      </c>
    </row>
    <row r="107" spans="11:11" x14ac:dyDescent="0.2">
      <c r="K107" s="5">
        <v>3</v>
      </c>
    </row>
    <row r="108" spans="11:11" x14ac:dyDescent="0.2">
      <c r="K108" s="5">
        <v>3</v>
      </c>
    </row>
    <row r="109" spans="11:11" x14ac:dyDescent="0.2">
      <c r="K109" s="5">
        <v>3</v>
      </c>
    </row>
    <row r="110" spans="11:11" x14ac:dyDescent="0.2">
      <c r="K110" s="5">
        <v>3</v>
      </c>
    </row>
    <row r="111" spans="11:11" x14ac:dyDescent="0.2">
      <c r="K111" s="5">
        <v>3</v>
      </c>
    </row>
    <row r="112" spans="11:11" x14ac:dyDescent="0.2">
      <c r="K112" s="5">
        <v>3</v>
      </c>
    </row>
    <row r="113" spans="11:11" x14ac:dyDescent="0.2">
      <c r="K113" s="5">
        <v>3</v>
      </c>
    </row>
    <row r="114" spans="11:11" x14ac:dyDescent="0.2">
      <c r="K114" s="5">
        <v>3</v>
      </c>
    </row>
    <row r="115" spans="11:11" x14ac:dyDescent="0.2">
      <c r="K115" s="5">
        <v>3</v>
      </c>
    </row>
    <row r="116" spans="11:11" x14ac:dyDescent="0.2">
      <c r="K116" s="5">
        <v>3</v>
      </c>
    </row>
    <row r="117" spans="11:11" x14ac:dyDescent="0.2">
      <c r="K117" s="5">
        <v>3</v>
      </c>
    </row>
    <row r="118" spans="11:11" x14ac:dyDescent="0.2">
      <c r="K118" s="5">
        <v>3</v>
      </c>
    </row>
    <row r="119" spans="11:11" x14ac:dyDescent="0.2">
      <c r="K119" s="5">
        <v>3</v>
      </c>
    </row>
    <row r="120" spans="11:11" x14ac:dyDescent="0.2">
      <c r="K120" s="5">
        <v>3</v>
      </c>
    </row>
    <row r="121" spans="11:11" x14ac:dyDescent="0.2">
      <c r="K121" s="5">
        <v>3</v>
      </c>
    </row>
    <row r="122" spans="11:11" x14ac:dyDescent="0.2">
      <c r="K122" s="5">
        <v>3</v>
      </c>
    </row>
    <row r="123" spans="11:11" x14ac:dyDescent="0.2">
      <c r="K123" s="5">
        <v>3</v>
      </c>
    </row>
    <row r="124" spans="11:11" x14ac:dyDescent="0.2">
      <c r="K124" s="5">
        <v>3</v>
      </c>
    </row>
    <row r="125" spans="11:11" x14ac:dyDescent="0.2">
      <c r="K125" s="5">
        <v>3</v>
      </c>
    </row>
    <row r="126" spans="11:11" x14ac:dyDescent="0.2">
      <c r="K126" s="5">
        <v>3</v>
      </c>
    </row>
    <row r="127" spans="11:11" x14ac:dyDescent="0.2">
      <c r="K127" s="5">
        <v>3</v>
      </c>
    </row>
    <row r="128" spans="11:11" x14ac:dyDescent="0.2">
      <c r="K128" s="5">
        <v>3</v>
      </c>
    </row>
    <row r="129" spans="11:11" x14ac:dyDescent="0.2">
      <c r="K129" s="5">
        <v>3</v>
      </c>
    </row>
    <row r="130" spans="11:11" x14ac:dyDescent="0.2">
      <c r="K130" s="5">
        <v>3</v>
      </c>
    </row>
    <row r="131" spans="11:11" x14ac:dyDescent="0.2">
      <c r="K131" s="5">
        <v>3</v>
      </c>
    </row>
    <row r="132" spans="11:11" x14ac:dyDescent="0.2">
      <c r="K132" s="5">
        <v>3</v>
      </c>
    </row>
    <row r="133" spans="11:11" x14ac:dyDescent="0.2">
      <c r="K133" s="5">
        <v>3</v>
      </c>
    </row>
    <row r="134" spans="11:11" x14ac:dyDescent="0.2">
      <c r="K134" s="5">
        <v>3</v>
      </c>
    </row>
    <row r="135" spans="11:11" x14ac:dyDescent="0.2">
      <c r="K135" s="5">
        <v>3</v>
      </c>
    </row>
    <row r="136" spans="11:11" x14ac:dyDescent="0.2">
      <c r="K136" s="5">
        <v>3</v>
      </c>
    </row>
    <row r="137" spans="11:11" x14ac:dyDescent="0.2">
      <c r="K137" s="5">
        <v>3</v>
      </c>
    </row>
    <row r="138" spans="11:11" x14ac:dyDescent="0.2">
      <c r="K138" s="5">
        <v>3</v>
      </c>
    </row>
    <row r="139" spans="11:11" x14ac:dyDescent="0.2">
      <c r="K139" s="5">
        <v>3</v>
      </c>
    </row>
    <row r="140" spans="11:11" x14ac:dyDescent="0.2">
      <c r="K140" s="5">
        <v>3</v>
      </c>
    </row>
    <row r="141" spans="11:11" x14ac:dyDescent="0.2">
      <c r="K141" s="5">
        <v>3</v>
      </c>
    </row>
    <row r="142" spans="11:11" x14ac:dyDescent="0.2">
      <c r="K142" s="5">
        <v>3</v>
      </c>
    </row>
    <row r="143" spans="11:11" x14ac:dyDescent="0.2">
      <c r="K143" s="5">
        <v>3</v>
      </c>
    </row>
    <row r="144" spans="11:11" x14ac:dyDescent="0.2">
      <c r="K144" s="5">
        <v>3</v>
      </c>
    </row>
    <row r="145" spans="11:11" x14ac:dyDescent="0.2">
      <c r="K145" s="5">
        <v>3</v>
      </c>
    </row>
    <row r="146" spans="11:11" x14ac:dyDescent="0.2">
      <c r="K146" s="5">
        <v>3</v>
      </c>
    </row>
    <row r="147" spans="11:11" x14ac:dyDescent="0.2">
      <c r="K147" s="5">
        <v>3</v>
      </c>
    </row>
    <row r="148" spans="11:11" x14ac:dyDescent="0.2">
      <c r="K148" s="5">
        <v>3</v>
      </c>
    </row>
    <row r="149" spans="11:11" x14ac:dyDescent="0.2">
      <c r="K149" s="5">
        <v>3</v>
      </c>
    </row>
    <row r="150" spans="11:11" x14ac:dyDescent="0.2">
      <c r="K150" s="5">
        <v>3</v>
      </c>
    </row>
    <row r="151" spans="11:11" x14ac:dyDescent="0.2">
      <c r="K151" s="5">
        <v>3</v>
      </c>
    </row>
    <row r="152" spans="11:11" x14ac:dyDescent="0.2">
      <c r="K152" s="5">
        <v>3</v>
      </c>
    </row>
    <row r="153" spans="11:11" x14ac:dyDescent="0.2">
      <c r="K153" s="5">
        <v>3</v>
      </c>
    </row>
    <row r="154" spans="11:11" x14ac:dyDescent="0.2">
      <c r="K154" s="5">
        <v>3</v>
      </c>
    </row>
    <row r="155" spans="11:11" x14ac:dyDescent="0.2">
      <c r="K155" s="5">
        <v>3</v>
      </c>
    </row>
    <row r="156" spans="11:11" x14ac:dyDescent="0.2">
      <c r="K156" s="5">
        <v>3</v>
      </c>
    </row>
    <row r="157" spans="11:11" x14ac:dyDescent="0.2">
      <c r="K157" s="5">
        <v>3</v>
      </c>
    </row>
    <row r="158" spans="11:11" x14ac:dyDescent="0.2">
      <c r="K158" s="5">
        <v>3</v>
      </c>
    </row>
    <row r="159" spans="11:11" x14ac:dyDescent="0.2">
      <c r="K159" s="5">
        <v>3</v>
      </c>
    </row>
    <row r="160" spans="11:11" x14ac:dyDescent="0.2">
      <c r="K160" s="5">
        <v>3</v>
      </c>
    </row>
    <row r="161" spans="11:11" x14ac:dyDescent="0.2">
      <c r="K161" s="5">
        <v>3</v>
      </c>
    </row>
    <row r="162" spans="11:11" x14ac:dyDescent="0.2">
      <c r="K162" s="5">
        <v>3</v>
      </c>
    </row>
    <row r="163" spans="11:11" x14ac:dyDescent="0.2">
      <c r="K163" s="5">
        <v>3</v>
      </c>
    </row>
    <row r="164" spans="11:11" x14ac:dyDescent="0.2">
      <c r="K164" s="5">
        <v>3</v>
      </c>
    </row>
    <row r="165" spans="11:11" x14ac:dyDescent="0.2">
      <c r="K165" s="5">
        <v>3</v>
      </c>
    </row>
    <row r="166" spans="11:11" x14ac:dyDescent="0.2">
      <c r="K166" s="5">
        <v>3</v>
      </c>
    </row>
    <row r="167" spans="11:11" x14ac:dyDescent="0.2">
      <c r="K167" s="5">
        <v>3</v>
      </c>
    </row>
    <row r="168" spans="11:11" x14ac:dyDescent="0.2">
      <c r="K168" s="5">
        <v>3</v>
      </c>
    </row>
    <row r="169" spans="11:11" x14ac:dyDescent="0.2">
      <c r="K169" s="5">
        <v>3</v>
      </c>
    </row>
    <row r="170" spans="11:11" x14ac:dyDescent="0.2">
      <c r="K170" s="5">
        <v>3</v>
      </c>
    </row>
    <row r="171" spans="11:11" x14ac:dyDescent="0.2">
      <c r="K171" s="5">
        <v>3</v>
      </c>
    </row>
    <row r="172" spans="11:11" x14ac:dyDescent="0.2">
      <c r="K172" s="5">
        <v>3</v>
      </c>
    </row>
    <row r="173" spans="11:11" x14ac:dyDescent="0.2">
      <c r="K173" s="5">
        <v>3</v>
      </c>
    </row>
    <row r="174" spans="11:11" x14ac:dyDescent="0.2">
      <c r="K174" s="5">
        <v>3</v>
      </c>
    </row>
    <row r="175" spans="11:11" x14ac:dyDescent="0.2">
      <c r="K175" s="5">
        <v>3</v>
      </c>
    </row>
    <row r="176" spans="11:11" x14ac:dyDescent="0.2">
      <c r="K176" s="5">
        <v>3</v>
      </c>
    </row>
    <row r="177" spans="11:11" x14ac:dyDescent="0.2">
      <c r="K177" s="5">
        <v>4</v>
      </c>
    </row>
    <row r="178" spans="11:11" x14ac:dyDescent="0.2">
      <c r="K178" s="5">
        <v>4</v>
      </c>
    </row>
    <row r="179" spans="11:11" x14ac:dyDescent="0.2">
      <c r="K179" s="5">
        <v>4</v>
      </c>
    </row>
    <row r="180" spans="11:11" x14ac:dyDescent="0.2">
      <c r="K180" s="5">
        <v>4</v>
      </c>
    </row>
    <row r="181" spans="11:11" x14ac:dyDescent="0.2">
      <c r="K181" s="5">
        <v>4</v>
      </c>
    </row>
    <row r="182" spans="11:11" x14ac:dyDescent="0.2">
      <c r="K182" s="5">
        <v>4</v>
      </c>
    </row>
    <row r="183" spans="11:11" x14ac:dyDescent="0.2">
      <c r="K183" s="5">
        <v>4</v>
      </c>
    </row>
    <row r="184" spans="11:11" x14ac:dyDescent="0.2">
      <c r="K184" s="5">
        <v>4</v>
      </c>
    </row>
    <row r="185" spans="11:11" x14ac:dyDescent="0.2">
      <c r="K185" s="5">
        <v>4</v>
      </c>
    </row>
    <row r="186" spans="11:11" x14ac:dyDescent="0.2">
      <c r="K186" s="5">
        <v>4</v>
      </c>
    </row>
    <row r="187" spans="11:11" x14ac:dyDescent="0.2">
      <c r="K187" s="5">
        <v>4</v>
      </c>
    </row>
    <row r="188" spans="11:11" x14ac:dyDescent="0.2">
      <c r="K188" s="5">
        <v>4</v>
      </c>
    </row>
    <row r="189" spans="11:11" x14ac:dyDescent="0.2">
      <c r="K189" s="5">
        <v>4</v>
      </c>
    </row>
    <row r="190" spans="11:11" x14ac:dyDescent="0.2">
      <c r="K190" s="5">
        <v>4</v>
      </c>
    </row>
    <row r="191" spans="11:11" x14ac:dyDescent="0.2">
      <c r="K191" s="5">
        <v>4</v>
      </c>
    </row>
    <row r="192" spans="11:11" x14ac:dyDescent="0.2">
      <c r="K192" s="5">
        <v>4</v>
      </c>
    </row>
    <row r="193" spans="11:11" x14ac:dyDescent="0.2">
      <c r="K193" s="5">
        <v>4</v>
      </c>
    </row>
    <row r="194" spans="11:11" x14ac:dyDescent="0.2">
      <c r="K194" s="5">
        <v>4</v>
      </c>
    </row>
    <row r="195" spans="11:11" x14ac:dyDescent="0.2">
      <c r="K195" s="5">
        <v>4</v>
      </c>
    </row>
    <row r="196" spans="11:11" x14ac:dyDescent="0.2">
      <c r="K196" s="5">
        <v>4</v>
      </c>
    </row>
    <row r="197" spans="11:11" x14ac:dyDescent="0.2">
      <c r="K197" s="5">
        <v>4</v>
      </c>
    </row>
    <row r="198" spans="11:11" x14ac:dyDescent="0.2">
      <c r="K198" s="5">
        <v>4</v>
      </c>
    </row>
    <row r="199" spans="11:11" x14ac:dyDescent="0.2">
      <c r="K199" s="5">
        <v>4</v>
      </c>
    </row>
    <row r="200" spans="11:11" x14ac:dyDescent="0.2">
      <c r="K200" s="5">
        <v>4</v>
      </c>
    </row>
    <row r="201" spans="11:11" x14ac:dyDescent="0.2">
      <c r="K201" s="5">
        <v>4</v>
      </c>
    </row>
    <row r="202" spans="11:11" x14ac:dyDescent="0.2">
      <c r="K202" s="5">
        <v>4</v>
      </c>
    </row>
    <row r="203" spans="11:11" x14ac:dyDescent="0.2">
      <c r="K203" s="5">
        <v>4</v>
      </c>
    </row>
    <row r="204" spans="11:11" x14ac:dyDescent="0.2">
      <c r="K204" s="5">
        <v>4</v>
      </c>
    </row>
    <row r="205" spans="11:11" x14ac:dyDescent="0.2">
      <c r="K205" s="5">
        <v>4</v>
      </c>
    </row>
    <row r="206" spans="11:11" x14ac:dyDescent="0.2">
      <c r="K206" s="5">
        <v>4</v>
      </c>
    </row>
    <row r="207" spans="11:11" x14ac:dyDescent="0.2">
      <c r="K207" s="5">
        <v>4</v>
      </c>
    </row>
    <row r="208" spans="11:11" x14ac:dyDescent="0.2">
      <c r="K208" s="5">
        <v>4</v>
      </c>
    </row>
    <row r="209" spans="11:11" x14ac:dyDescent="0.2">
      <c r="K209" s="5">
        <v>4</v>
      </c>
    </row>
    <row r="210" spans="11:11" x14ac:dyDescent="0.2">
      <c r="K210" s="5">
        <v>4</v>
      </c>
    </row>
    <row r="211" spans="11:11" x14ac:dyDescent="0.2">
      <c r="K211" s="5">
        <v>4</v>
      </c>
    </row>
    <row r="212" spans="11:11" x14ac:dyDescent="0.2">
      <c r="K212" s="5">
        <v>4</v>
      </c>
    </row>
    <row r="213" spans="11:11" x14ac:dyDescent="0.2">
      <c r="K213" s="5">
        <v>4</v>
      </c>
    </row>
    <row r="214" spans="11:11" x14ac:dyDescent="0.2">
      <c r="K214" s="5">
        <v>4</v>
      </c>
    </row>
    <row r="215" spans="11:11" x14ac:dyDescent="0.2">
      <c r="K215" s="5">
        <v>4</v>
      </c>
    </row>
    <row r="216" spans="11:11" x14ac:dyDescent="0.2">
      <c r="K216" s="5">
        <v>4</v>
      </c>
    </row>
    <row r="217" spans="11:11" x14ac:dyDescent="0.2">
      <c r="K217" s="5">
        <v>4</v>
      </c>
    </row>
    <row r="218" spans="11:11" x14ac:dyDescent="0.2">
      <c r="K218" s="5">
        <v>4</v>
      </c>
    </row>
    <row r="219" spans="11:11" x14ac:dyDescent="0.2">
      <c r="K219" s="5">
        <v>5</v>
      </c>
    </row>
    <row r="220" spans="11:11" x14ac:dyDescent="0.2">
      <c r="K220" s="5">
        <v>5</v>
      </c>
    </row>
    <row r="221" spans="11:11" x14ac:dyDescent="0.2">
      <c r="K221" s="5">
        <v>5</v>
      </c>
    </row>
    <row r="222" spans="11:11" x14ac:dyDescent="0.2">
      <c r="K222" s="5">
        <v>5</v>
      </c>
    </row>
    <row r="223" spans="11:11" x14ac:dyDescent="0.2">
      <c r="K223" s="5">
        <v>5</v>
      </c>
    </row>
    <row r="224" spans="11:11" x14ac:dyDescent="0.2">
      <c r="K224" s="5">
        <v>5</v>
      </c>
    </row>
    <row r="225" spans="11:11" x14ac:dyDescent="0.2">
      <c r="K225" s="5">
        <v>5</v>
      </c>
    </row>
    <row r="226" spans="11:11" x14ac:dyDescent="0.2">
      <c r="K226" s="5">
        <v>5</v>
      </c>
    </row>
    <row r="227" spans="11:11" x14ac:dyDescent="0.2">
      <c r="K227" s="5">
        <v>5</v>
      </c>
    </row>
    <row r="228" spans="11:11" x14ac:dyDescent="0.2">
      <c r="K228" s="5">
        <v>5</v>
      </c>
    </row>
    <row r="229" spans="11:11" x14ac:dyDescent="0.2">
      <c r="K229" s="5">
        <v>5</v>
      </c>
    </row>
    <row r="230" spans="11:11" x14ac:dyDescent="0.2">
      <c r="K230" s="5">
        <v>5</v>
      </c>
    </row>
    <row r="231" spans="11:11" x14ac:dyDescent="0.2">
      <c r="K231" s="5">
        <v>5</v>
      </c>
    </row>
    <row r="232" spans="11:11" x14ac:dyDescent="0.2">
      <c r="K232" s="5">
        <v>5</v>
      </c>
    </row>
    <row r="233" spans="11:11" x14ac:dyDescent="0.2">
      <c r="K233" s="5">
        <v>5</v>
      </c>
    </row>
    <row r="234" spans="11:11" x14ac:dyDescent="0.2">
      <c r="K234" s="5">
        <v>5</v>
      </c>
    </row>
    <row r="235" spans="11:11" x14ac:dyDescent="0.2">
      <c r="K235" s="5">
        <v>5</v>
      </c>
    </row>
    <row r="236" spans="11:11" x14ac:dyDescent="0.2">
      <c r="K236" s="5">
        <v>5</v>
      </c>
    </row>
  </sheetData>
  <phoneticPr fontId="4"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A4FE2-3C5A-491E-933A-C4F0B1DE6A3F}">
  <dimension ref="A1:K236"/>
  <sheetViews>
    <sheetView workbookViewId="0">
      <selection activeCell="C8" sqref="C8"/>
    </sheetView>
  </sheetViews>
  <sheetFormatPr baseColWidth="10" defaultRowHeight="12.75" x14ac:dyDescent="0.2"/>
  <cols>
    <col min="1" max="1" width="37.42578125" bestFit="1" customWidth="1"/>
    <col min="2" max="2" width="28" bestFit="1" customWidth="1"/>
    <col min="3" max="3" width="21.5703125" bestFit="1" customWidth="1"/>
    <col min="4" max="4" width="38" bestFit="1" customWidth="1"/>
    <col min="7" max="7" width="18.85546875" bestFit="1" customWidth="1"/>
  </cols>
  <sheetData>
    <row r="1" spans="1:11" x14ac:dyDescent="0.2">
      <c r="A1" s="13" t="s">
        <v>431</v>
      </c>
      <c r="B1" s="31" t="s">
        <v>432</v>
      </c>
      <c r="C1" s="13" t="s">
        <v>438</v>
      </c>
      <c r="D1" s="13" t="s">
        <v>437</v>
      </c>
      <c r="E1" s="15"/>
      <c r="F1" s="15"/>
      <c r="G1" s="16" t="s">
        <v>434</v>
      </c>
      <c r="J1" s="2" t="s">
        <v>7</v>
      </c>
      <c r="K1" t="s">
        <v>474</v>
      </c>
    </row>
    <row r="2" spans="1:11" x14ac:dyDescent="0.2">
      <c r="A2" s="13">
        <v>1</v>
      </c>
      <c r="B2" s="31">
        <v>8</v>
      </c>
      <c r="C2" s="13">
        <f t="shared" ref="C2:C6" si="0" xml:space="preserve"> A2*B2</f>
        <v>8</v>
      </c>
      <c r="D2" s="13">
        <f t="shared" ref="D2:D7" si="1">B2/$B$7*100</f>
        <v>3.4042553191489362</v>
      </c>
      <c r="E2" s="15"/>
      <c r="F2" s="15"/>
      <c r="G2" s="8">
        <f>SUM(C2:C6)</f>
        <v>741</v>
      </c>
      <c r="J2" s="6">
        <v>1</v>
      </c>
    </row>
    <row r="3" spans="1:11" x14ac:dyDescent="0.2">
      <c r="A3" s="13">
        <v>2</v>
      </c>
      <c r="B3" s="31">
        <v>54</v>
      </c>
      <c r="C3" s="13">
        <f t="shared" si="0"/>
        <v>108</v>
      </c>
      <c r="D3" s="13">
        <f t="shared" si="1"/>
        <v>22.978723404255319</v>
      </c>
      <c r="E3" s="15"/>
      <c r="F3" s="12" t="s">
        <v>435</v>
      </c>
      <c r="G3" s="12">
        <f>G2/235</f>
        <v>3.1531914893617023</v>
      </c>
      <c r="J3" s="6">
        <v>1</v>
      </c>
    </row>
    <row r="4" spans="1:11" x14ac:dyDescent="0.2">
      <c r="A4" s="13">
        <v>3</v>
      </c>
      <c r="B4" s="31">
        <v>93</v>
      </c>
      <c r="C4" s="13">
        <f t="shared" si="0"/>
        <v>279</v>
      </c>
      <c r="D4" s="13">
        <f t="shared" si="1"/>
        <v>39.574468085106382</v>
      </c>
      <c r="E4" s="15"/>
      <c r="F4" s="15"/>
      <c r="G4" s="15"/>
      <c r="J4" s="6">
        <v>1</v>
      </c>
    </row>
    <row r="5" spans="1:11" x14ac:dyDescent="0.2">
      <c r="A5" s="13">
        <v>4</v>
      </c>
      <c r="B5" s="31">
        <v>54</v>
      </c>
      <c r="C5" s="13">
        <f t="shared" si="0"/>
        <v>216</v>
      </c>
      <c r="D5" s="13">
        <f t="shared" si="1"/>
        <v>22.978723404255319</v>
      </c>
      <c r="F5" s="7" t="s">
        <v>435</v>
      </c>
      <c r="G5" s="7">
        <f>G4/235</f>
        <v>0</v>
      </c>
      <c r="J5" s="6">
        <v>1</v>
      </c>
    </row>
    <row r="6" spans="1:11" x14ac:dyDescent="0.2">
      <c r="A6" s="13">
        <v>5</v>
      </c>
      <c r="B6" s="31">
        <v>26</v>
      </c>
      <c r="C6" s="13">
        <f t="shared" si="0"/>
        <v>130</v>
      </c>
      <c r="D6" s="13">
        <f t="shared" si="1"/>
        <v>11.063829787234042</v>
      </c>
      <c r="J6" s="6">
        <v>1</v>
      </c>
    </row>
    <row r="7" spans="1:11" x14ac:dyDescent="0.2">
      <c r="A7" s="15" t="s">
        <v>433</v>
      </c>
      <c r="B7" s="32">
        <f xml:space="preserve"> SUM(B2:B6)</f>
        <v>235</v>
      </c>
      <c r="C7" s="13"/>
      <c r="D7" s="13">
        <f t="shared" si="1"/>
        <v>100</v>
      </c>
      <c r="J7" s="6">
        <v>1</v>
      </c>
    </row>
    <row r="8" spans="1:11" x14ac:dyDescent="0.2">
      <c r="A8" s="15"/>
      <c r="B8" s="15"/>
      <c r="C8" s="15"/>
      <c r="D8" s="15"/>
      <c r="G8" s="21" t="s">
        <v>470</v>
      </c>
      <c r="I8" s="6"/>
      <c r="J8" s="6">
        <v>1</v>
      </c>
    </row>
    <row r="9" spans="1:11" x14ac:dyDescent="0.2">
      <c r="A9" s="13"/>
      <c r="B9" s="13"/>
      <c r="C9" s="13"/>
      <c r="D9" s="15"/>
      <c r="G9" s="6">
        <f>MODE(J2:J236)</f>
        <v>3</v>
      </c>
      <c r="I9" s="21" t="s">
        <v>472</v>
      </c>
      <c r="J9" s="6">
        <v>1</v>
      </c>
    </row>
    <row r="10" spans="1:11" x14ac:dyDescent="0.2">
      <c r="A10" s="13"/>
      <c r="B10" s="13"/>
      <c r="C10" s="13"/>
      <c r="D10" s="15"/>
      <c r="I10" s="6">
        <f>MAX(J2:J236)-MIN(J2:J236)</f>
        <v>4</v>
      </c>
      <c r="J10" s="6">
        <v>2</v>
      </c>
    </row>
    <row r="11" spans="1:11" x14ac:dyDescent="0.2">
      <c r="A11" s="22" t="s">
        <v>436</v>
      </c>
      <c r="B11" s="22" t="s">
        <v>468</v>
      </c>
      <c r="C11" s="13"/>
      <c r="D11" s="15"/>
      <c r="G11" s="21" t="s">
        <v>469</v>
      </c>
      <c r="J11" s="6">
        <v>2</v>
      </c>
    </row>
    <row r="12" spans="1:11" x14ac:dyDescent="0.2">
      <c r="A12" s="13" cm="1">
        <f t="array" ref="A12">SQRT(SUMPRODUCT(B2:B6,(A2:A6-$G$3)^2)/(SUM(B2:B6)-1))</f>
        <v>1.0095380732269492</v>
      </c>
      <c r="B12" s="13">
        <f>G2/B7</f>
        <v>3.1531914893617023</v>
      </c>
      <c r="C12" s="13"/>
      <c r="D12" s="15"/>
      <c r="G12" s="6">
        <f>MEDIAN(J2:J236)</f>
        <v>3</v>
      </c>
      <c r="J12" s="6">
        <v>2</v>
      </c>
    </row>
    <row r="13" spans="1:11" x14ac:dyDescent="0.2">
      <c r="A13" s="13"/>
      <c r="B13" s="13"/>
      <c r="C13" s="13"/>
      <c r="D13" s="15"/>
      <c r="G13" s="21" t="s">
        <v>471</v>
      </c>
      <c r="J13" s="6">
        <v>2</v>
      </c>
    </row>
    <row r="14" spans="1:11" x14ac:dyDescent="0.2">
      <c r="A14" s="13"/>
      <c r="B14" s="22" t="s">
        <v>473</v>
      </c>
      <c r="C14" s="13"/>
      <c r="D14" s="15"/>
      <c r="G14" s="6">
        <f>_xlfn.VAR.S(J2:J236)</f>
        <v>1.019167121294781</v>
      </c>
      <c r="J14" s="6">
        <v>2</v>
      </c>
    </row>
    <row r="15" spans="1:11" x14ac:dyDescent="0.2">
      <c r="A15" s="6"/>
      <c r="B15" s="13">
        <f>(A12/B12)*100</f>
        <v>32.016389636752095</v>
      </c>
      <c r="C15" s="6"/>
      <c r="J15" s="6">
        <v>2</v>
      </c>
    </row>
    <row r="16" spans="1:11" x14ac:dyDescent="0.2">
      <c r="A16" s="6"/>
      <c r="B16" s="6"/>
      <c r="C16" s="6"/>
      <c r="J16" s="6">
        <v>2</v>
      </c>
    </row>
    <row r="17" spans="1:10" x14ac:dyDescent="0.2">
      <c r="A17" s="6"/>
      <c r="B17" s="6"/>
      <c r="C17" s="6"/>
      <c r="J17" s="6">
        <v>2</v>
      </c>
    </row>
    <row r="18" spans="1:10" x14ac:dyDescent="0.2">
      <c r="A18" s="6"/>
      <c r="B18" s="6"/>
      <c r="C18" s="6"/>
      <c r="J18" s="6">
        <v>2</v>
      </c>
    </row>
    <row r="19" spans="1:10" x14ac:dyDescent="0.2">
      <c r="A19" s="6"/>
      <c r="B19" s="6"/>
      <c r="C19" s="6"/>
      <c r="J19" s="6">
        <v>2</v>
      </c>
    </row>
    <row r="20" spans="1:10" x14ac:dyDescent="0.2">
      <c r="J20" s="6">
        <v>2</v>
      </c>
    </row>
    <row r="21" spans="1:10" x14ac:dyDescent="0.2">
      <c r="J21" s="6">
        <v>2</v>
      </c>
    </row>
    <row r="22" spans="1:10" x14ac:dyDescent="0.2">
      <c r="J22" s="6">
        <v>2</v>
      </c>
    </row>
    <row r="23" spans="1:10" x14ac:dyDescent="0.2">
      <c r="J23" s="6">
        <v>2</v>
      </c>
    </row>
    <row r="24" spans="1:10" x14ac:dyDescent="0.2">
      <c r="J24" s="6">
        <v>2</v>
      </c>
    </row>
    <row r="25" spans="1:10" x14ac:dyDescent="0.2">
      <c r="J25" s="6">
        <v>2</v>
      </c>
    </row>
    <row r="26" spans="1:10" x14ac:dyDescent="0.2">
      <c r="J26" s="6">
        <v>2</v>
      </c>
    </row>
    <row r="27" spans="1:10" x14ac:dyDescent="0.2">
      <c r="J27" s="6">
        <v>2</v>
      </c>
    </row>
    <row r="28" spans="1:10" x14ac:dyDescent="0.2">
      <c r="J28" s="6">
        <v>2</v>
      </c>
    </row>
    <row r="29" spans="1:10" x14ac:dyDescent="0.2">
      <c r="J29" s="6">
        <v>2</v>
      </c>
    </row>
    <row r="30" spans="1:10" x14ac:dyDescent="0.2">
      <c r="J30" s="6">
        <v>2</v>
      </c>
    </row>
    <row r="31" spans="1:10" x14ac:dyDescent="0.2">
      <c r="J31" s="6">
        <v>2</v>
      </c>
    </row>
    <row r="32" spans="1:10" x14ac:dyDescent="0.2">
      <c r="J32" s="6">
        <v>2</v>
      </c>
    </row>
    <row r="33" spans="10:10" x14ac:dyDescent="0.2">
      <c r="J33" s="6">
        <v>2</v>
      </c>
    </row>
    <row r="34" spans="10:10" x14ac:dyDescent="0.2">
      <c r="J34" s="6">
        <v>2</v>
      </c>
    </row>
    <row r="35" spans="10:10" x14ac:dyDescent="0.2">
      <c r="J35" s="6">
        <v>2</v>
      </c>
    </row>
    <row r="36" spans="10:10" x14ac:dyDescent="0.2">
      <c r="J36" s="6">
        <v>2</v>
      </c>
    </row>
    <row r="37" spans="10:10" x14ac:dyDescent="0.2">
      <c r="J37" s="6">
        <v>2</v>
      </c>
    </row>
    <row r="38" spans="10:10" x14ac:dyDescent="0.2">
      <c r="J38" s="6">
        <v>2</v>
      </c>
    </row>
    <row r="39" spans="10:10" x14ac:dyDescent="0.2">
      <c r="J39" s="6">
        <v>2</v>
      </c>
    </row>
    <row r="40" spans="10:10" x14ac:dyDescent="0.2">
      <c r="J40" s="6">
        <v>2</v>
      </c>
    </row>
    <row r="41" spans="10:10" x14ac:dyDescent="0.2">
      <c r="J41" s="6">
        <v>2</v>
      </c>
    </row>
    <row r="42" spans="10:10" x14ac:dyDescent="0.2">
      <c r="J42" s="6">
        <v>2</v>
      </c>
    </row>
    <row r="43" spans="10:10" x14ac:dyDescent="0.2">
      <c r="J43" s="6">
        <v>2</v>
      </c>
    </row>
    <row r="44" spans="10:10" x14ac:dyDescent="0.2">
      <c r="J44" s="6">
        <v>2</v>
      </c>
    </row>
    <row r="45" spans="10:10" x14ac:dyDescent="0.2">
      <c r="J45" s="6">
        <v>2</v>
      </c>
    </row>
    <row r="46" spans="10:10" x14ac:dyDescent="0.2">
      <c r="J46" s="6">
        <v>2</v>
      </c>
    </row>
    <row r="47" spans="10:10" x14ac:dyDescent="0.2">
      <c r="J47" s="6">
        <v>2</v>
      </c>
    </row>
    <row r="48" spans="10:10" x14ac:dyDescent="0.2">
      <c r="J48" s="6">
        <v>2</v>
      </c>
    </row>
    <row r="49" spans="10:10" x14ac:dyDescent="0.2">
      <c r="J49" s="6">
        <v>2</v>
      </c>
    </row>
    <row r="50" spans="10:10" x14ac:dyDescent="0.2">
      <c r="J50" s="6">
        <v>2</v>
      </c>
    </row>
    <row r="51" spans="10:10" x14ac:dyDescent="0.2">
      <c r="J51" s="6">
        <v>2</v>
      </c>
    </row>
    <row r="52" spans="10:10" x14ac:dyDescent="0.2">
      <c r="J52" s="6">
        <v>2</v>
      </c>
    </row>
    <row r="53" spans="10:10" x14ac:dyDescent="0.2">
      <c r="J53" s="6">
        <v>2</v>
      </c>
    </row>
    <row r="54" spans="10:10" x14ac:dyDescent="0.2">
      <c r="J54" s="6">
        <v>2</v>
      </c>
    </row>
    <row r="55" spans="10:10" x14ac:dyDescent="0.2">
      <c r="J55" s="6">
        <v>2</v>
      </c>
    </row>
    <row r="56" spans="10:10" x14ac:dyDescent="0.2">
      <c r="J56" s="6">
        <v>2</v>
      </c>
    </row>
    <row r="57" spans="10:10" x14ac:dyDescent="0.2">
      <c r="J57" s="6">
        <v>2</v>
      </c>
    </row>
    <row r="58" spans="10:10" x14ac:dyDescent="0.2">
      <c r="J58" s="6">
        <v>2</v>
      </c>
    </row>
    <row r="59" spans="10:10" x14ac:dyDescent="0.2">
      <c r="J59" s="6">
        <v>2</v>
      </c>
    </row>
    <row r="60" spans="10:10" x14ac:dyDescent="0.2">
      <c r="J60" s="6">
        <v>2</v>
      </c>
    </row>
    <row r="61" spans="10:10" x14ac:dyDescent="0.2">
      <c r="J61" s="6">
        <v>2</v>
      </c>
    </row>
    <row r="62" spans="10:10" x14ac:dyDescent="0.2">
      <c r="J62" s="6">
        <v>2</v>
      </c>
    </row>
    <row r="63" spans="10:10" x14ac:dyDescent="0.2">
      <c r="J63" s="6">
        <v>2</v>
      </c>
    </row>
    <row r="64" spans="10:10" x14ac:dyDescent="0.2">
      <c r="J64" s="6">
        <v>3</v>
      </c>
    </row>
    <row r="65" spans="10:10" x14ac:dyDescent="0.2">
      <c r="J65" s="6">
        <v>3</v>
      </c>
    </row>
    <row r="66" spans="10:10" x14ac:dyDescent="0.2">
      <c r="J66" s="6">
        <v>3</v>
      </c>
    </row>
    <row r="67" spans="10:10" x14ac:dyDescent="0.2">
      <c r="J67" s="6">
        <v>3</v>
      </c>
    </row>
    <row r="68" spans="10:10" x14ac:dyDescent="0.2">
      <c r="J68" s="6">
        <v>3</v>
      </c>
    </row>
    <row r="69" spans="10:10" x14ac:dyDescent="0.2">
      <c r="J69" s="6">
        <v>3</v>
      </c>
    </row>
    <row r="70" spans="10:10" x14ac:dyDescent="0.2">
      <c r="J70" s="6">
        <v>3</v>
      </c>
    </row>
    <row r="71" spans="10:10" x14ac:dyDescent="0.2">
      <c r="J71" s="6">
        <v>3</v>
      </c>
    </row>
    <row r="72" spans="10:10" x14ac:dyDescent="0.2">
      <c r="J72" s="6">
        <v>3</v>
      </c>
    </row>
    <row r="73" spans="10:10" x14ac:dyDescent="0.2">
      <c r="J73" s="6">
        <v>3</v>
      </c>
    </row>
    <row r="74" spans="10:10" x14ac:dyDescent="0.2">
      <c r="J74" s="6">
        <v>3</v>
      </c>
    </row>
    <row r="75" spans="10:10" x14ac:dyDescent="0.2">
      <c r="J75" s="6">
        <v>3</v>
      </c>
    </row>
    <row r="76" spans="10:10" x14ac:dyDescent="0.2">
      <c r="J76" s="6">
        <v>3</v>
      </c>
    </row>
    <row r="77" spans="10:10" x14ac:dyDescent="0.2">
      <c r="J77" s="6">
        <v>3</v>
      </c>
    </row>
    <row r="78" spans="10:10" x14ac:dyDescent="0.2">
      <c r="J78" s="6">
        <v>3</v>
      </c>
    </row>
    <row r="79" spans="10:10" x14ac:dyDescent="0.2">
      <c r="J79" s="6">
        <v>3</v>
      </c>
    </row>
    <row r="80" spans="10:10" x14ac:dyDescent="0.2">
      <c r="J80" s="6">
        <v>3</v>
      </c>
    </row>
    <row r="81" spans="10:10" x14ac:dyDescent="0.2">
      <c r="J81" s="6">
        <v>3</v>
      </c>
    </row>
    <row r="82" spans="10:10" x14ac:dyDescent="0.2">
      <c r="J82" s="6">
        <v>3</v>
      </c>
    </row>
    <row r="83" spans="10:10" x14ac:dyDescent="0.2">
      <c r="J83" s="6">
        <v>3</v>
      </c>
    </row>
    <row r="84" spans="10:10" x14ac:dyDescent="0.2">
      <c r="J84" s="6">
        <v>3</v>
      </c>
    </row>
    <row r="85" spans="10:10" x14ac:dyDescent="0.2">
      <c r="J85" s="6">
        <v>3</v>
      </c>
    </row>
    <row r="86" spans="10:10" x14ac:dyDescent="0.2">
      <c r="J86" s="6">
        <v>3</v>
      </c>
    </row>
    <row r="87" spans="10:10" x14ac:dyDescent="0.2">
      <c r="J87" s="6">
        <v>3</v>
      </c>
    </row>
    <row r="88" spans="10:10" x14ac:dyDescent="0.2">
      <c r="J88" s="6">
        <v>3</v>
      </c>
    </row>
    <row r="89" spans="10:10" x14ac:dyDescent="0.2">
      <c r="J89" s="6">
        <v>3</v>
      </c>
    </row>
    <row r="90" spans="10:10" x14ac:dyDescent="0.2">
      <c r="J90" s="6">
        <v>3</v>
      </c>
    </row>
    <row r="91" spans="10:10" x14ac:dyDescent="0.2">
      <c r="J91" s="6">
        <v>3</v>
      </c>
    </row>
    <row r="92" spans="10:10" x14ac:dyDescent="0.2">
      <c r="J92" s="6">
        <v>3</v>
      </c>
    </row>
    <row r="93" spans="10:10" x14ac:dyDescent="0.2">
      <c r="J93" s="6">
        <v>3</v>
      </c>
    </row>
    <row r="94" spans="10:10" x14ac:dyDescent="0.2">
      <c r="J94" s="6">
        <v>3</v>
      </c>
    </row>
    <row r="95" spans="10:10" x14ac:dyDescent="0.2">
      <c r="J95" s="6">
        <v>3</v>
      </c>
    </row>
    <row r="96" spans="10:10" x14ac:dyDescent="0.2">
      <c r="J96" s="6">
        <v>3</v>
      </c>
    </row>
    <row r="97" spans="10:10" x14ac:dyDescent="0.2">
      <c r="J97" s="6">
        <v>3</v>
      </c>
    </row>
    <row r="98" spans="10:10" x14ac:dyDescent="0.2">
      <c r="J98" s="6">
        <v>3</v>
      </c>
    </row>
    <row r="99" spans="10:10" x14ac:dyDescent="0.2">
      <c r="J99" s="6">
        <v>3</v>
      </c>
    </row>
    <row r="100" spans="10:10" x14ac:dyDescent="0.2">
      <c r="J100" s="6">
        <v>3</v>
      </c>
    </row>
    <row r="101" spans="10:10" x14ac:dyDescent="0.2">
      <c r="J101" s="6">
        <v>3</v>
      </c>
    </row>
    <row r="102" spans="10:10" x14ac:dyDescent="0.2">
      <c r="J102" s="6">
        <v>3</v>
      </c>
    </row>
    <row r="103" spans="10:10" x14ac:dyDescent="0.2">
      <c r="J103" s="6">
        <v>3</v>
      </c>
    </row>
    <row r="104" spans="10:10" x14ac:dyDescent="0.2">
      <c r="J104" s="6">
        <v>3</v>
      </c>
    </row>
    <row r="105" spans="10:10" x14ac:dyDescent="0.2">
      <c r="J105" s="6">
        <v>3</v>
      </c>
    </row>
    <row r="106" spans="10:10" x14ac:dyDescent="0.2">
      <c r="J106" s="6">
        <v>3</v>
      </c>
    </row>
    <row r="107" spans="10:10" x14ac:dyDescent="0.2">
      <c r="J107" s="6">
        <v>3</v>
      </c>
    </row>
    <row r="108" spans="10:10" x14ac:dyDescent="0.2">
      <c r="J108" s="6">
        <v>3</v>
      </c>
    </row>
    <row r="109" spans="10:10" x14ac:dyDescent="0.2">
      <c r="J109" s="6">
        <v>3</v>
      </c>
    </row>
    <row r="110" spans="10:10" x14ac:dyDescent="0.2">
      <c r="J110" s="6">
        <v>3</v>
      </c>
    </row>
    <row r="111" spans="10:10" x14ac:dyDescent="0.2">
      <c r="J111" s="6">
        <v>3</v>
      </c>
    </row>
    <row r="112" spans="10:10" x14ac:dyDescent="0.2">
      <c r="J112" s="6">
        <v>3</v>
      </c>
    </row>
    <row r="113" spans="10:10" x14ac:dyDescent="0.2">
      <c r="J113" s="6">
        <v>3</v>
      </c>
    </row>
    <row r="114" spans="10:10" x14ac:dyDescent="0.2">
      <c r="J114" s="6">
        <v>3</v>
      </c>
    </row>
    <row r="115" spans="10:10" x14ac:dyDescent="0.2">
      <c r="J115" s="6">
        <v>3</v>
      </c>
    </row>
    <row r="116" spans="10:10" x14ac:dyDescent="0.2">
      <c r="J116" s="6">
        <v>3</v>
      </c>
    </row>
    <row r="117" spans="10:10" x14ac:dyDescent="0.2">
      <c r="J117" s="6">
        <v>3</v>
      </c>
    </row>
    <row r="118" spans="10:10" x14ac:dyDescent="0.2">
      <c r="J118" s="6">
        <v>3</v>
      </c>
    </row>
    <row r="119" spans="10:10" x14ac:dyDescent="0.2">
      <c r="J119" s="6">
        <v>3</v>
      </c>
    </row>
    <row r="120" spans="10:10" x14ac:dyDescent="0.2">
      <c r="J120" s="6">
        <v>3</v>
      </c>
    </row>
    <row r="121" spans="10:10" x14ac:dyDescent="0.2">
      <c r="J121" s="6">
        <v>3</v>
      </c>
    </row>
    <row r="122" spans="10:10" x14ac:dyDescent="0.2">
      <c r="J122" s="6">
        <v>3</v>
      </c>
    </row>
    <row r="123" spans="10:10" x14ac:dyDescent="0.2">
      <c r="J123" s="6">
        <v>3</v>
      </c>
    </row>
    <row r="124" spans="10:10" x14ac:dyDescent="0.2">
      <c r="J124" s="6">
        <v>3</v>
      </c>
    </row>
    <row r="125" spans="10:10" x14ac:dyDescent="0.2">
      <c r="J125" s="6">
        <v>3</v>
      </c>
    </row>
    <row r="126" spans="10:10" x14ac:dyDescent="0.2">
      <c r="J126" s="6">
        <v>3</v>
      </c>
    </row>
    <row r="127" spans="10:10" x14ac:dyDescent="0.2">
      <c r="J127" s="6">
        <v>3</v>
      </c>
    </row>
    <row r="128" spans="10:10" x14ac:dyDescent="0.2">
      <c r="J128" s="6">
        <v>3</v>
      </c>
    </row>
    <row r="129" spans="10:10" x14ac:dyDescent="0.2">
      <c r="J129" s="6">
        <v>3</v>
      </c>
    </row>
    <row r="130" spans="10:10" x14ac:dyDescent="0.2">
      <c r="J130" s="6">
        <v>3</v>
      </c>
    </row>
    <row r="131" spans="10:10" x14ac:dyDescent="0.2">
      <c r="J131" s="6">
        <v>3</v>
      </c>
    </row>
    <row r="132" spans="10:10" x14ac:dyDescent="0.2">
      <c r="J132" s="6">
        <v>3</v>
      </c>
    </row>
    <row r="133" spans="10:10" x14ac:dyDescent="0.2">
      <c r="J133" s="6">
        <v>3</v>
      </c>
    </row>
    <row r="134" spans="10:10" x14ac:dyDescent="0.2">
      <c r="J134" s="6">
        <v>3</v>
      </c>
    </row>
    <row r="135" spans="10:10" x14ac:dyDescent="0.2">
      <c r="J135" s="6">
        <v>3</v>
      </c>
    </row>
    <row r="136" spans="10:10" x14ac:dyDescent="0.2">
      <c r="J136" s="6">
        <v>3</v>
      </c>
    </row>
    <row r="137" spans="10:10" x14ac:dyDescent="0.2">
      <c r="J137" s="6">
        <v>3</v>
      </c>
    </row>
    <row r="138" spans="10:10" x14ac:dyDescent="0.2">
      <c r="J138" s="6">
        <v>3</v>
      </c>
    </row>
    <row r="139" spans="10:10" x14ac:dyDescent="0.2">
      <c r="J139" s="6">
        <v>3</v>
      </c>
    </row>
    <row r="140" spans="10:10" x14ac:dyDescent="0.2">
      <c r="J140" s="6">
        <v>3</v>
      </c>
    </row>
    <row r="141" spans="10:10" x14ac:dyDescent="0.2">
      <c r="J141" s="6">
        <v>3</v>
      </c>
    </row>
    <row r="142" spans="10:10" x14ac:dyDescent="0.2">
      <c r="J142" s="6">
        <v>3</v>
      </c>
    </row>
    <row r="143" spans="10:10" x14ac:dyDescent="0.2">
      <c r="J143" s="6">
        <v>3</v>
      </c>
    </row>
    <row r="144" spans="10:10" x14ac:dyDescent="0.2">
      <c r="J144" s="6">
        <v>3</v>
      </c>
    </row>
    <row r="145" spans="10:10" x14ac:dyDescent="0.2">
      <c r="J145" s="6">
        <v>3</v>
      </c>
    </row>
    <row r="146" spans="10:10" x14ac:dyDescent="0.2">
      <c r="J146" s="6">
        <v>3</v>
      </c>
    </row>
    <row r="147" spans="10:10" x14ac:dyDescent="0.2">
      <c r="J147" s="6">
        <v>3</v>
      </c>
    </row>
    <row r="148" spans="10:10" x14ac:dyDescent="0.2">
      <c r="J148" s="6">
        <v>3</v>
      </c>
    </row>
    <row r="149" spans="10:10" x14ac:dyDescent="0.2">
      <c r="J149" s="6">
        <v>3</v>
      </c>
    </row>
    <row r="150" spans="10:10" x14ac:dyDescent="0.2">
      <c r="J150" s="6">
        <v>3</v>
      </c>
    </row>
    <row r="151" spans="10:10" x14ac:dyDescent="0.2">
      <c r="J151" s="6">
        <v>3</v>
      </c>
    </row>
    <row r="152" spans="10:10" x14ac:dyDescent="0.2">
      <c r="J152" s="6">
        <v>3</v>
      </c>
    </row>
    <row r="153" spans="10:10" x14ac:dyDescent="0.2">
      <c r="J153" s="6">
        <v>3</v>
      </c>
    </row>
    <row r="154" spans="10:10" x14ac:dyDescent="0.2">
      <c r="J154" s="6">
        <v>3</v>
      </c>
    </row>
    <row r="155" spans="10:10" x14ac:dyDescent="0.2">
      <c r="J155" s="6">
        <v>3</v>
      </c>
    </row>
    <row r="156" spans="10:10" x14ac:dyDescent="0.2">
      <c r="J156" s="6">
        <v>3</v>
      </c>
    </row>
    <row r="157" spans="10:10" x14ac:dyDescent="0.2">
      <c r="J157" s="6">
        <v>4</v>
      </c>
    </row>
    <row r="158" spans="10:10" x14ac:dyDescent="0.2">
      <c r="J158" s="6">
        <v>4</v>
      </c>
    </row>
    <row r="159" spans="10:10" x14ac:dyDescent="0.2">
      <c r="J159" s="6">
        <v>4</v>
      </c>
    </row>
    <row r="160" spans="10:10" x14ac:dyDescent="0.2">
      <c r="J160" s="6">
        <v>4</v>
      </c>
    </row>
    <row r="161" spans="10:10" x14ac:dyDescent="0.2">
      <c r="J161" s="6">
        <v>4</v>
      </c>
    </row>
    <row r="162" spans="10:10" x14ac:dyDescent="0.2">
      <c r="J162" s="6">
        <v>4</v>
      </c>
    </row>
    <row r="163" spans="10:10" x14ac:dyDescent="0.2">
      <c r="J163" s="6">
        <v>4</v>
      </c>
    </row>
    <row r="164" spans="10:10" x14ac:dyDescent="0.2">
      <c r="J164" s="6">
        <v>4</v>
      </c>
    </row>
    <row r="165" spans="10:10" x14ac:dyDescent="0.2">
      <c r="J165" s="6">
        <v>4</v>
      </c>
    </row>
    <row r="166" spans="10:10" x14ac:dyDescent="0.2">
      <c r="J166" s="6">
        <v>4</v>
      </c>
    </row>
    <row r="167" spans="10:10" x14ac:dyDescent="0.2">
      <c r="J167" s="6">
        <v>4</v>
      </c>
    </row>
    <row r="168" spans="10:10" x14ac:dyDescent="0.2">
      <c r="J168" s="6">
        <v>4</v>
      </c>
    </row>
    <row r="169" spans="10:10" x14ac:dyDescent="0.2">
      <c r="J169" s="6">
        <v>4</v>
      </c>
    </row>
    <row r="170" spans="10:10" x14ac:dyDescent="0.2">
      <c r="J170" s="6">
        <v>4</v>
      </c>
    </row>
    <row r="171" spans="10:10" x14ac:dyDescent="0.2">
      <c r="J171" s="6">
        <v>4</v>
      </c>
    </row>
    <row r="172" spans="10:10" x14ac:dyDescent="0.2">
      <c r="J172" s="6">
        <v>4</v>
      </c>
    </row>
    <row r="173" spans="10:10" x14ac:dyDescent="0.2">
      <c r="J173" s="6">
        <v>4</v>
      </c>
    </row>
    <row r="174" spans="10:10" x14ac:dyDescent="0.2">
      <c r="J174" s="6">
        <v>4</v>
      </c>
    </row>
    <row r="175" spans="10:10" x14ac:dyDescent="0.2">
      <c r="J175" s="6">
        <v>4</v>
      </c>
    </row>
    <row r="176" spans="10:10" x14ac:dyDescent="0.2">
      <c r="J176" s="6">
        <v>4</v>
      </c>
    </row>
    <row r="177" spans="10:10" x14ac:dyDescent="0.2">
      <c r="J177" s="6">
        <v>4</v>
      </c>
    </row>
    <row r="178" spans="10:10" x14ac:dyDescent="0.2">
      <c r="J178" s="6">
        <v>4</v>
      </c>
    </row>
    <row r="179" spans="10:10" x14ac:dyDescent="0.2">
      <c r="J179" s="6">
        <v>4</v>
      </c>
    </row>
    <row r="180" spans="10:10" x14ac:dyDescent="0.2">
      <c r="J180" s="6">
        <v>4</v>
      </c>
    </row>
    <row r="181" spans="10:10" x14ac:dyDescent="0.2">
      <c r="J181" s="6">
        <v>4</v>
      </c>
    </row>
    <row r="182" spans="10:10" x14ac:dyDescent="0.2">
      <c r="J182" s="6">
        <v>4</v>
      </c>
    </row>
    <row r="183" spans="10:10" x14ac:dyDescent="0.2">
      <c r="J183" s="6">
        <v>4</v>
      </c>
    </row>
    <row r="184" spans="10:10" x14ac:dyDescent="0.2">
      <c r="J184" s="6">
        <v>4</v>
      </c>
    </row>
    <row r="185" spans="10:10" x14ac:dyDescent="0.2">
      <c r="J185" s="6">
        <v>4</v>
      </c>
    </row>
    <row r="186" spans="10:10" x14ac:dyDescent="0.2">
      <c r="J186" s="6">
        <v>4</v>
      </c>
    </row>
    <row r="187" spans="10:10" x14ac:dyDescent="0.2">
      <c r="J187" s="6">
        <v>4</v>
      </c>
    </row>
    <row r="188" spans="10:10" x14ac:dyDescent="0.2">
      <c r="J188" s="6">
        <v>4</v>
      </c>
    </row>
    <row r="189" spans="10:10" x14ac:dyDescent="0.2">
      <c r="J189" s="6">
        <v>4</v>
      </c>
    </row>
    <row r="190" spans="10:10" x14ac:dyDescent="0.2">
      <c r="J190" s="6">
        <v>4</v>
      </c>
    </row>
    <row r="191" spans="10:10" x14ac:dyDescent="0.2">
      <c r="J191" s="6">
        <v>4</v>
      </c>
    </row>
    <row r="192" spans="10:10" x14ac:dyDescent="0.2">
      <c r="J192" s="6">
        <v>4</v>
      </c>
    </row>
    <row r="193" spans="10:10" x14ac:dyDescent="0.2">
      <c r="J193" s="6">
        <v>4</v>
      </c>
    </row>
    <row r="194" spans="10:10" x14ac:dyDescent="0.2">
      <c r="J194" s="6">
        <v>4</v>
      </c>
    </row>
    <row r="195" spans="10:10" x14ac:dyDescent="0.2">
      <c r="J195" s="6">
        <v>4</v>
      </c>
    </row>
    <row r="196" spans="10:10" x14ac:dyDescent="0.2">
      <c r="J196" s="6">
        <v>4</v>
      </c>
    </row>
    <row r="197" spans="10:10" x14ac:dyDescent="0.2">
      <c r="J197" s="6">
        <v>4</v>
      </c>
    </row>
    <row r="198" spans="10:10" x14ac:dyDescent="0.2">
      <c r="J198" s="6">
        <v>4</v>
      </c>
    </row>
    <row r="199" spans="10:10" x14ac:dyDescent="0.2">
      <c r="J199" s="6">
        <v>4</v>
      </c>
    </row>
    <row r="200" spans="10:10" x14ac:dyDescent="0.2">
      <c r="J200" s="6">
        <v>4</v>
      </c>
    </row>
    <row r="201" spans="10:10" x14ac:dyDescent="0.2">
      <c r="J201" s="6">
        <v>4</v>
      </c>
    </row>
    <row r="202" spans="10:10" x14ac:dyDescent="0.2">
      <c r="J202" s="6">
        <v>4</v>
      </c>
    </row>
    <row r="203" spans="10:10" x14ac:dyDescent="0.2">
      <c r="J203" s="6">
        <v>4</v>
      </c>
    </row>
    <row r="204" spans="10:10" x14ac:dyDescent="0.2">
      <c r="J204" s="6">
        <v>4</v>
      </c>
    </row>
    <row r="205" spans="10:10" x14ac:dyDescent="0.2">
      <c r="J205" s="6">
        <v>4</v>
      </c>
    </row>
    <row r="206" spans="10:10" x14ac:dyDescent="0.2">
      <c r="J206" s="6">
        <v>4</v>
      </c>
    </row>
    <row r="207" spans="10:10" x14ac:dyDescent="0.2">
      <c r="J207" s="6">
        <v>4</v>
      </c>
    </row>
    <row r="208" spans="10:10" x14ac:dyDescent="0.2">
      <c r="J208" s="6">
        <v>4</v>
      </c>
    </row>
    <row r="209" spans="10:10" x14ac:dyDescent="0.2">
      <c r="J209" s="6">
        <v>4</v>
      </c>
    </row>
    <row r="210" spans="10:10" x14ac:dyDescent="0.2">
      <c r="J210" s="6">
        <v>4</v>
      </c>
    </row>
    <row r="211" spans="10:10" x14ac:dyDescent="0.2">
      <c r="J211" s="6">
        <v>5</v>
      </c>
    </row>
    <row r="212" spans="10:10" x14ac:dyDescent="0.2">
      <c r="J212" s="6">
        <v>5</v>
      </c>
    </row>
    <row r="213" spans="10:10" x14ac:dyDescent="0.2">
      <c r="J213" s="6">
        <v>5</v>
      </c>
    </row>
    <row r="214" spans="10:10" x14ac:dyDescent="0.2">
      <c r="J214" s="6">
        <v>5</v>
      </c>
    </row>
    <row r="215" spans="10:10" x14ac:dyDescent="0.2">
      <c r="J215" s="6">
        <v>5</v>
      </c>
    </row>
    <row r="216" spans="10:10" x14ac:dyDescent="0.2">
      <c r="J216" s="6">
        <v>5</v>
      </c>
    </row>
    <row r="217" spans="10:10" x14ac:dyDescent="0.2">
      <c r="J217" s="6">
        <v>5</v>
      </c>
    </row>
    <row r="218" spans="10:10" x14ac:dyDescent="0.2">
      <c r="J218" s="6">
        <v>5</v>
      </c>
    </row>
    <row r="219" spans="10:10" x14ac:dyDescent="0.2">
      <c r="J219" s="6">
        <v>5</v>
      </c>
    </row>
    <row r="220" spans="10:10" x14ac:dyDescent="0.2">
      <c r="J220" s="6">
        <v>5</v>
      </c>
    </row>
    <row r="221" spans="10:10" x14ac:dyDescent="0.2">
      <c r="J221" s="6">
        <v>5</v>
      </c>
    </row>
    <row r="222" spans="10:10" x14ac:dyDescent="0.2">
      <c r="J222" s="6">
        <v>5</v>
      </c>
    </row>
    <row r="223" spans="10:10" x14ac:dyDescent="0.2">
      <c r="J223" s="6">
        <v>5</v>
      </c>
    </row>
    <row r="224" spans="10:10" x14ac:dyDescent="0.2">
      <c r="J224" s="6">
        <v>5</v>
      </c>
    </row>
    <row r="225" spans="10:10" x14ac:dyDescent="0.2">
      <c r="J225" s="6">
        <v>5</v>
      </c>
    </row>
    <row r="226" spans="10:10" x14ac:dyDescent="0.2">
      <c r="J226" s="6">
        <v>5</v>
      </c>
    </row>
    <row r="227" spans="10:10" x14ac:dyDescent="0.2">
      <c r="J227" s="6">
        <v>5</v>
      </c>
    </row>
    <row r="228" spans="10:10" x14ac:dyDescent="0.2">
      <c r="J228" s="6">
        <v>5</v>
      </c>
    </row>
    <row r="229" spans="10:10" x14ac:dyDescent="0.2">
      <c r="J229" s="6">
        <v>5</v>
      </c>
    </row>
    <row r="230" spans="10:10" x14ac:dyDescent="0.2">
      <c r="J230" s="6">
        <v>5</v>
      </c>
    </row>
    <row r="231" spans="10:10" x14ac:dyDescent="0.2">
      <c r="J231" s="6">
        <v>5</v>
      </c>
    </row>
    <row r="232" spans="10:10" x14ac:dyDescent="0.2">
      <c r="J232" s="6">
        <v>5</v>
      </c>
    </row>
    <row r="233" spans="10:10" x14ac:dyDescent="0.2">
      <c r="J233" s="6">
        <v>5</v>
      </c>
    </row>
    <row r="234" spans="10:10" x14ac:dyDescent="0.2">
      <c r="J234" s="6">
        <v>5</v>
      </c>
    </row>
    <row r="235" spans="10:10" x14ac:dyDescent="0.2">
      <c r="J235" s="6">
        <v>5</v>
      </c>
    </row>
    <row r="236" spans="10:10" x14ac:dyDescent="0.2">
      <c r="J236" s="6">
        <v>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5701-45BB-4113-B4D0-14AB0A5A9A05}">
  <dimension ref="A1:K236"/>
  <sheetViews>
    <sheetView workbookViewId="0">
      <selection activeCell="A18" sqref="A18"/>
    </sheetView>
  </sheetViews>
  <sheetFormatPr baseColWidth="10" defaultRowHeight="12.75" x14ac:dyDescent="0.2"/>
  <cols>
    <col min="1" max="1" width="37.42578125" bestFit="1" customWidth="1"/>
    <col min="2" max="2" width="28" bestFit="1" customWidth="1"/>
    <col min="3" max="3" width="21.5703125" bestFit="1" customWidth="1"/>
    <col min="4" max="4" width="38" bestFit="1" customWidth="1"/>
    <col min="7" max="7" width="18.85546875" bestFit="1" customWidth="1"/>
  </cols>
  <sheetData>
    <row r="1" spans="1:11" x14ac:dyDescent="0.2">
      <c r="A1" s="6" t="s">
        <v>431</v>
      </c>
      <c r="B1" s="6" t="s">
        <v>432</v>
      </c>
      <c r="C1" s="6" t="s">
        <v>438</v>
      </c>
      <c r="D1" s="6" t="s">
        <v>437</v>
      </c>
      <c r="G1" s="8" t="s">
        <v>434</v>
      </c>
      <c r="K1" s="2" t="s">
        <v>8</v>
      </c>
    </row>
    <row r="2" spans="1:11" x14ac:dyDescent="0.2">
      <c r="A2" s="6">
        <v>1</v>
      </c>
      <c r="B2" s="6">
        <v>14</v>
      </c>
      <c r="C2" s="6">
        <f t="shared" ref="C2:C6" si="0" xml:space="preserve"> A2*B2</f>
        <v>14</v>
      </c>
      <c r="D2" s="13">
        <f t="shared" ref="D2:D7" si="1">B2/$B$7*100</f>
        <v>5.9574468085106389</v>
      </c>
      <c r="G2" s="8">
        <f>SUM(C2:C6)</f>
        <v>722</v>
      </c>
      <c r="K2" s="6">
        <v>1</v>
      </c>
    </row>
    <row r="3" spans="1:11" x14ac:dyDescent="0.2">
      <c r="A3" s="6">
        <v>2</v>
      </c>
      <c r="B3" s="6">
        <v>46</v>
      </c>
      <c r="C3" s="6">
        <f t="shared" si="0"/>
        <v>92</v>
      </c>
      <c r="D3" s="13">
        <f t="shared" si="1"/>
        <v>19.574468085106382</v>
      </c>
      <c r="F3" s="7" t="s">
        <v>435</v>
      </c>
      <c r="G3" s="7">
        <f>G2/235</f>
        <v>3.0723404255319151</v>
      </c>
      <c r="K3" s="6">
        <v>1</v>
      </c>
    </row>
    <row r="4" spans="1:11" x14ac:dyDescent="0.2">
      <c r="A4" s="6">
        <v>3</v>
      </c>
      <c r="B4" s="6">
        <v>106</v>
      </c>
      <c r="C4" s="6">
        <f t="shared" si="0"/>
        <v>318</v>
      </c>
      <c r="D4" s="13">
        <f t="shared" si="1"/>
        <v>45.106382978723403</v>
      </c>
      <c r="K4" s="6">
        <v>1</v>
      </c>
    </row>
    <row r="5" spans="1:11" x14ac:dyDescent="0.2">
      <c r="A5" s="6">
        <v>4</v>
      </c>
      <c r="B5" s="6">
        <v>47</v>
      </c>
      <c r="C5" s="6">
        <f t="shared" si="0"/>
        <v>188</v>
      </c>
      <c r="D5" s="13">
        <f t="shared" si="1"/>
        <v>20</v>
      </c>
      <c r="K5" s="6">
        <v>1</v>
      </c>
    </row>
    <row r="6" spans="1:11" x14ac:dyDescent="0.2">
      <c r="A6" s="6">
        <v>5</v>
      </c>
      <c r="B6" s="6">
        <v>22</v>
      </c>
      <c r="C6" s="6">
        <f t="shared" si="0"/>
        <v>110</v>
      </c>
      <c r="D6" s="13">
        <f t="shared" si="1"/>
        <v>9.3617021276595747</v>
      </c>
      <c r="K6" s="6">
        <v>1</v>
      </c>
    </row>
    <row r="7" spans="1:11" x14ac:dyDescent="0.2">
      <c r="A7" t="s">
        <v>433</v>
      </c>
      <c r="B7" s="5">
        <f xml:space="preserve"> SUM(B2:B6)</f>
        <v>235</v>
      </c>
      <c r="C7" s="6"/>
      <c r="D7" s="6">
        <f t="shared" si="1"/>
        <v>100</v>
      </c>
      <c r="K7" s="6">
        <v>1</v>
      </c>
    </row>
    <row r="8" spans="1:11" x14ac:dyDescent="0.2">
      <c r="G8" s="21" t="s">
        <v>470</v>
      </c>
      <c r="I8" s="6"/>
      <c r="K8" s="6">
        <v>1</v>
      </c>
    </row>
    <row r="9" spans="1:11" x14ac:dyDescent="0.2">
      <c r="G9" s="6">
        <f>MODE(K2:K236)</f>
        <v>3</v>
      </c>
      <c r="I9" s="21" t="s">
        <v>472</v>
      </c>
      <c r="K9" s="6">
        <v>1</v>
      </c>
    </row>
    <row r="10" spans="1:11" x14ac:dyDescent="0.2">
      <c r="I10" s="6">
        <f>MAX(K2:K236)-MIN(K2:K236)</f>
        <v>4</v>
      </c>
      <c r="K10" s="6">
        <v>1</v>
      </c>
    </row>
    <row r="11" spans="1:11" x14ac:dyDescent="0.2">
      <c r="G11" s="21" t="s">
        <v>469</v>
      </c>
      <c r="K11" s="6">
        <v>1</v>
      </c>
    </row>
    <row r="12" spans="1:11" x14ac:dyDescent="0.2">
      <c r="A12" s="7" t="s">
        <v>436</v>
      </c>
      <c r="B12" s="22" t="s">
        <v>468</v>
      </c>
      <c r="G12" s="6">
        <f>MEDIAN(K2:K236)</f>
        <v>3</v>
      </c>
      <c r="K12" s="6">
        <v>1</v>
      </c>
    </row>
    <row r="13" spans="1:11" x14ac:dyDescent="0.2">
      <c r="A13" s="14" cm="1">
        <f t="array" ref="A13">SQRT(SUMPRODUCT(B2:B6,(A2:A6-$G$3)^2)/(SUM(B2:B6)-1))</f>
        <v>1.0037753791662409</v>
      </c>
      <c r="B13" s="13">
        <f>G2/B7</f>
        <v>3.0723404255319151</v>
      </c>
      <c r="G13" s="21" t="s">
        <v>471</v>
      </c>
      <c r="K13" s="6">
        <v>1</v>
      </c>
    </row>
    <row r="14" spans="1:11" x14ac:dyDescent="0.2">
      <c r="B14" s="22" t="s">
        <v>473</v>
      </c>
      <c r="G14" s="13">
        <f>_xlfn.VAR.S(K2:K236)</f>
        <v>1.0001818512456808</v>
      </c>
      <c r="K14" s="6">
        <v>1</v>
      </c>
    </row>
    <row r="15" spans="1:11" x14ac:dyDescent="0.2">
      <c r="B15" s="23">
        <f>(A13/B13)*100</f>
        <v>32.671359294192051</v>
      </c>
      <c r="K15" s="6">
        <v>1</v>
      </c>
    </row>
    <row r="16" spans="1:11" x14ac:dyDescent="0.2">
      <c r="K16" s="6">
        <v>2</v>
      </c>
    </row>
    <row r="17" spans="2:11" x14ac:dyDescent="0.2">
      <c r="B17" s="13"/>
      <c r="K17" s="6">
        <v>2</v>
      </c>
    </row>
    <row r="18" spans="2:11" x14ac:dyDescent="0.2">
      <c r="K18" s="6">
        <v>2</v>
      </c>
    </row>
    <row r="19" spans="2:11" x14ac:dyDescent="0.2">
      <c r="K19" s="6">
        <v>2</v>
      </c>
    </row>
    <row r="20" spans="2:11" x14ac:dyDescent="0.2">
      <c r="K20" s="6">
        <v>2</v>
      </c>
    </row>
    <row r="21" spans="2:11" x14ac:dyDescent="0.2">
      <c r="K21" s="6">
        <v>2</v>
      </c>
    </row>
    <row r="22" spans="2:11" x14ac:dyDescent="0.2">
      <c r="K22" s="6">
        <v>2</v>
      </c>
    </row>
    <row r="23" spans="2:11" x14ac:dyDescent="0.2">
      <c r="K23" s="6">
        <v>2</v>
      </c>
    </row>
    <row r="24" spans="2:11" x14ac:dyDescent="0.2">
      <c r="K24" s="6">
        <v>2</v>
      </c>
    </row>
    <row r="25" spans="2:11" x14ac:dyDescent="0.2">
      <c r="K25" s="6">
        <v>2</v>
      </c>
    </row>
    <row r="26" spans="2:11" x14ac:dyDescent="0.2">
      <c r="K26" s="6">
        <v>2</v>
      </c>
    </row>
    <row r="27" spans="2:11" x14ac:dyDescent="0.2">
      <c r="K27" s="6">
        <v>2</v>
      </c>
    </row>
    <row r="28" spans="2:11" x14ac:dyDescent="0.2">
      <c r="K28" s="6">
        <v>2</v>
      </c>
    </row>
    <row r="29" spans="2:11" x14ac:dyDescent="0.2">
      <c r="K29" s="6">
        <v>2</v>
      </c>
    </row>
    <row r="30" spans="2:11" x14ac:dyDescent="0.2">
      <c r="K30" s="6">
        <v>2</v>
      </c>
    </row>
    <row r="31" spans="2:11" x14ac:dyDescent="0.2">
      <c r="K31" s="6">
        <v>2</v>
      </c>
    </row>
    <row r="32" spans="2:11" x14ac:dyDescent="0.2">
      <c r="K32" s="6">
        <v>2</v>
      </c>
    </row>
    <row r="33" spans="11:11" x14ac:dyDescent="0.2">
      <c r="K33" s="6">
        <v>2</v>
      </c>
    </row>
    <row r="34" spans="11:11" x14ac:dyDescent="0.2">
      <c r="K34" s="6">
        <v>2</v>
      </c>
    </row>
    <row r="35" spans="11:11" x14ac:dyDescent="0.2">
      <c r="K35" s="6">
        <v>2</v>
      </c>
    </row>
    <row r="36" spans="11:11" x14ac:dyDescent="0.2">
      <c r="K36" s="6">
        <v>2</v>
      </c>
    </row>
    <row r="37" spans="11:11" x14ac:dyDescent="0.2">
      <c r="K37" s="6">
        <v>2</v>
      </c>
    </row>
    <row r="38" spans="11:11" x14ac:dyDescent="0.2">
      <c r="K38" s="6">
        <v>2</v>
      </c>
    </row>
    <row r="39" spans="11:11" x14ac:dyDescent="0.2">
      <c r="K39" s="6">
        <v>2</v>
      </c>
    </row>
    <row r="40" spans="11:11" x14ac:dyDescent="0.2">
      <c r="K40" s="6">
        <v>2</v>
      </c>
    </row>
    <row r="41" spans="11:11" x14ac:dyDescent="0.2">
      <c r="K41" s="6">
        <v>2</v>
      </c>
    </row>
    <row r="42" spans="11:11" x14ac:dyDescent="0.2">
      <c r="K42" s="6">
        <v>2</v>
      </c>
    </row>
    <row r="43" spans="11:11" x14ac:dyDescent="0.2">
      <c r="K43" s="6">
        <v>2</v>
      </c>
    </row>
    <row r="44" spans="11:11" x14ac:dyDescent="0.2">
      <c r="K44" s="6">
        <v>2</v>
      </c>
    </row>
    <row r="45" spans="11:11" x14ac:dyDescent="0.2">
      <c r="K45" s="6">
        <v>2</v>
      </c>
    </row>
    <row r="46" spans="11:11" x14ac:dyDescent="0.2">
      <c r="K46" s="6">
        <v>2</v>
      </c>
    </row>
    <row r="47" spans="11:11" x14ac:dyDescent="0.2">
      <c r="K47" s="6">
        <v>2</v>
      </c>
    </row>
    <row r="48" spans="11:11" x14ac:dyDescent="0.2">
      <c r="K48" s="6">
        <v>2</v>
      </c>
    </row>
    <row r="49" spans="11:11" x14ac:dyDescent="0.2">
      <c r="K49" s="6">
        <v>2</v>
      </c>
    </row>
    <row r="50" spans="11:11" x14ac:dyDescent="0.2">
      <c r="K50" s="6">
        <v>2</v>
      </c>
    </row>
    <row r="51" spans="11:11" x14ac:dyDescent="0.2">
      <c r="K51" s="6">
        <v>2</v>
      </c>
    </row>
    <row r="52" spans="11:11" x14ac:dyDescent="0.2">
      <c r="K52" s="6">
        <v>2</v>
      </c>
    </row>
    <row r="53" spans="11:11" x14ac:dyDescent="0.2">
      <c r="K53" s="6">
        <v>2</v>
      </c>
    </row>
    <row r="54" spans="11:11" x14ac:dyDescent="0.2">
      <c r="K54" s="6">
        <v>2</v>
      </c>
    </row>
    <row r="55" spans="11:11" x14ac:dyDescent="0.2">
      <c r="K55" s="6">
        <v>2</v>
      </c>
    </row>
    <row r="56" spans="11:11" x14ac:dyDescent="0.2">
      <c r="K56" s="6">
        <v>2</v>
      </c>
    </row>
    <row r="57" spans="11:11" x14ac:dyDescent="0.2">
      <c r="K57" s="6">
        <v>2</v>
      </c>
    </row>
    <row r="58" spans="11:11" x14ac:dyDescent="0.2">
      <c r="K58" s="6">
        <v>2</v>
      </c>
    </row>
    <row r="59" spans="11:11" x14ac:dyDescent="0.2">
      <c r="K59" s="6">
        <v>2</v>
      </c>
    </row>
    <row r="60" spans="11:11" x14ac:dyDescent="0.2">
      <c r="K60" s="6">
        <v>2</v>
      </c>
    </row>
    <row r="61" spans="11:11" x14ac:dyDescent="0.2">
      <c r="K61" s="6">
        <v>2</v>
      </c>
    </row>
    <row r="62" spans="11:11" x14ac:dyDescent="0.2">
      <c r="K62" s="6">
        <v>3</v>
      </c>
    </row>
    <row r="63" spans="11:11" x14ac:dyDescent="0.2">
      <c r="K63" s="6">
        <v>3</v>
      </c>
    </row>
    <row r="64" spans="11:11" x14ac:dyDescent="0.2">
      <c r="K64" s="6">
        <v>3</v>
      </c>
    </row>
    <row r="65" spans="11:11" x14ac:dyDescent="0.2">
      <c r="K65" s="6">
        <v>3</v>
      </c>
    </row>
    <row r="66" spans="11:11" x14ac:dyDescent="0.2">
      <c r="K66" s="6">
        <v>3</v>
      </c>
    </row>
    <row r="67" spans="11:11" x14ac:dyDescent="0.2">
      <c r="K67" s="6">
        <v>3</v>
      </c>
    </row>
    <row r="68" spans="11:11" x14ac:dyDescent="0.2">
      <c r="K68" s="6">
        <v>3</v>
      </c>
    </row>
    <row r="69" spans="11:11" x14ac:dyDescent="0.2">
      <c r="K69" s="6">
        <v>3</v>
      </c>
    </row>
    <row r="70" spans="11:11" x14ac:dyDescent="0.2">
      <c r="K70" s="6">
        <v>3</v>
      </c>
    </row>
    <row r="71" spans="11:11" x14ac:dyDescent="0.2">
      <c r="K71" s="6">
        <v>3</v>
      </c>
    </row>
    <row r="72" spans="11:11" x14ac:dyDescent="0.2">
      <c r="K72" s="6">
        <v>3</v>
      </c>
    </row>
    <row r="73" spans="11:11" x14ac:dyDescent="0.2">
      <c r="K73" s="6">
        <v>3</v>
      </c>
    </row>
    <row r="74" spans="11:11" x14ac:dyDescent="0.2">
      <c r="K74" s="6">
        <v>3</v>
      </c>
    </row>
    <row r="75" spans="11:11" x14ac:dyDescent="0.2">
      <c r="K75" s="6">
        <v>3</v>
      </c>
    </row>
    <row r="76" spans="11:11" x14ac:dyDescent="0.2">
      <c r="K76" s="6">
        <v>3</v>
      </c>
    </row>
    <row r="77" spans="11:11" x14ac:dyDescent="0.2">
      <c r="K77" s="6">
        <v>3</v>
      </c>
    </row>
    <row r="78" spans="11:11" x14ac:dyDescent="0.2">
      <c r="K78" s="6">
        <v>3</v>
      </c>
    </row>
    <row r="79" spans="11:11" x14ac:dyDescent="0.2">
      <c r="K79" s="6">
        <v>3</v>
      </c>
    </row>
    <row r="80" spans="11:11" x14ac:dyDescent="0.2">
      <c r="K80" s="6">
        <v>3</v>
      </c>
    </row>
    <row r="81" spans="11:11" x14ac:dyDescent="0.2">
      <c r="K81" s="6">
        <v>3</v>
      </c>
    </row>
    <row r="82" spans="11:11" x14ac:dyDescent="0.2">
      <c r="K82" s="6">
        <v>3</v>
      </c>
    </row>
    <row r="83" spans="11:11" x14ac:dyDescent="0.2">
      <c r="K83" s="6">
        <v>3</v>
      </c>
    </row>
    <row r="84" spans="11:11" x14ac:dyDescent="0.2">
      <c r="K84" s="6">
        <v>3</v>
      </c>
    </row>
    <row r="85" spans="11:11" x14ac:dyDescent="0.2">
      <c r="K85" s="6">
        <v>3</v>
      </c>
    </row>
    <row r="86" spans="11:11" x14ac:dyDescent="0.2">
      <c r="K86" s="6">
        <v>3</v>
      </c>
    </row>
    <row r="87" spans="11:11" x14ac:dyDescent="0.2">
      <c r="K87" s="6">
        <v>3</v>
      </c>
    </row>
    <row r="88" spans="11:11" x14ac:dyDescent="0.2">
      <c r="K88" s="6">
        <v>3</v>
      </c>
    </row>
    <row r="89" spans="11:11" x14ac:dyDescent="0.2">
      <c r="K89" s="6">
        <v>3</v>
      </c>
    </row>
    <row r="90" spans="11:11" x14ac:dyDescent="0.2">
      <c r="K90" s="6">
        <v>3</v>
      </c>
    </row>
    <row r="91" spans="11:11" x14ac:dyDescent="0.2">
      <c r="K91" s="6">
        <v>3</v>
      </c>
    </row>
    <row r="92" spans="11:11" x14ac:dyDescent="0.2">
      <c r="K92" s="6">
        <v>3</v>
      </c>
    </row>
    <row r="93" spans="11:11" x14ac:dyDescent="0.2">
      <c r="K93" s="6">
        <v>3</v>
      </c>
    </row>
    <row r="94" spans="11:11" x14ac:dyDescent="0.2">
      <c r="K94" s="6">
        <v>3</v>
      </c>
    </row>
    <row r="95" spans="11:11" x14ac:dyDescent="0.2">
      <c r="K95" s="6">
        <v>3</v>
      </c>
    </row>
    <row r="96" spans="11:11" x14ac:dyDescent="0.2">
      <c r="K96" s="6">
        <v>3</v>
      </c>
    </row>
    <row r="97" spans="11:11" x14ac:dyDescent="0.2">
      <c r="K97" s="6">
        <v>3</v>
      </c>
    </row>
    <row r="98" spans="11:11" x14ac:dyDescent="0.2">
      <c r="K98" s="6">
        <v>3</v>
      </c>
    </row>
    <row r="99" spans="11:11" x14ac:dyDescent="0.2">
      <c r="K99" s="6">
        <v>3</v>
      </c>
    </row>
    <row r="100" spans="11:11" x14ac:dyDescent="0.2">
      <c r="K100" s="6">
        <v>3</v>
      </c>
    </row>
    <row r="101" spans="11:11" x14ac:dyDescent="0.2">
      <c r="K101" s="6">
        <v>3</v>
      </c>
    </row>
    <row r="102" spans="11:11" x14ac:dyDescent="0.2">
      <c r="K102" s="6">
        <v>3</v>
      </c>
    </row>
    <row r="103" spans="11:11" x14ac:dyDescent="0.2">
      <c r="K103" s="6">
        <v>3</v>
      </c>
    </row>
    <row r="104" spans="11:11" x14ac:dyDescent="0.2">
      <c r="K104" s="6">
        <v>3</v>
      </c>
    </row>
    <row r="105" spans="11:11" x14ac:dyDescent="0.2">
      <c r="K105" s="6">
        <v>3</v>
      </c>
    </row>
    <row r="106" spans="11:11" x14ac:dyDescent="0.2">
      <c r="K106" s="6">
        <v>3</v>
      </c>
    </row>
    <row r="107" spans="11:11" x14ac:dyDescent="0.2">
      <c r="K107" s="6">
        <v>3</v>
      </c>
    </row>
    <row r="108" spans="11:11" x14ac:dyDescent="0.2">
      <c r="K108" s="6">
        <v>3</v>
      </c>
    </row>
    <row r="109" spans="11:11" x14ac:dyDescent="0.2">
      <c r="K109" s="6">
        <v>3</v>
      </c>
    </row>
    <row r="110" spans="11:11" x14ac:dyDescent="0.2">
      <c r="K110" s="6">
        <v>3</v>
      </c>
    </row>
    <row r="111" spans="11:11" x14ac:dyDescent="0.2">
      <c r="K111" s="6">
        <v>3</v>
      </c>
    </row>
    <row r="112" spans="11:11" x14ac:dyDescent="0.2">
      <c r="K112" s="6">
        <v>3</v>
      </c>
    </row>
    <row r="113" spans="11:11" x14ac:dyDescent="0.2">
      <c r="K113" s="6">
        <v>3</v>
      </c>
    </row>
    <row r="114" spans="11:11" x14ac:dyDescent="0.2">
      <c r="K114" s="6">
        <v>3</v>
      </c>
    </row>
    <row r="115" spans="11:11" x14ac:dyDescent="0.2">
      <c r="K115" s="6">
        <v>3</v>
      </c>
    </row>
    <row r="116" spans="11:11" x14ac:dyDescent="0.2">
      <c r="K116" s="6">
        <v>3</v>
      </c>
    </row>
    <row r="117" spans="11:11" x14ac:dyDescent="0.2">
      <c r="K117" s="6">
        <v>3</v>
      </c>
    </row>
    <row r="118" spans="11:11" x14ac:dyDescent="0.2">
      <c r="K118" s="6">
        <v>3</v>
      </c>
    </row>
    <row r="119" spans="11:11" x14ac:dyDescent="0.2">
      <c r="K119" s="6">
        <v>3</v>
      </c>
    </row>
    <row r="120" spans="11:11" x14ac:dyDescent="0.2">
      <c r="K120" s="6">
        <v>3</v>
      </c>
    </row>
    <row r="121" spans="11:11" x14ac:dyDescent="0.2">
      <c r="K121" s="6">
        <v>3</v>
      </c>
    </row>
    <row r="122" spans="11:11" x14ac:dyDescent="0.2">
      <c r="K122" s="6">
        <v>3</v>
      </c>
    </row>
    <row r="123" spans="11:11" x14ac:dyDescent="0.2">
      <c r="K123" s="6">
        <v>3</v>
      </c>
    </row>
    <row r="124" spans="11:11" x14ac:dyDescent="0.2">
      <c r="K124" s="6">
        <v>3</v>
      </c>
    </row>
    <row r="125" spans="11:11" x14ac:dyDescent="0.2">
      <c r="K125" s="6">
        <v>3</v>
      </c>
    </row>
    <row r="126" spans="11:11" x14ac:dyDescent="0.2">
      <c r="K126" s="6">
        <v>3</v>
      </c>
    </row>
    <row r="127" spans="11:11" x14ac:dyDescent="0.2">
      <c r="K127" s="6">
        <v>3</v>
      </c>
    </row>
    <row r="128" spans="11:11" x14ac:dyDescent="0.2">
      <c r="K128" s="6">
        <v>3</v>
      </c>
    </row>
    <row r="129" spans="11:11" x14ac:dyDescent="0.2">
      <c r="K129" s="6">
        <v>3</v>
      </c>
    </row>
    <row r="130" spans="11:11" x14ac:dyDescent="0.2">
      <c r="K130" s="6">
        <v>3</v>
      </c>
    </row>
    <row r="131" spans="11:11" x14ac:dyDescent="0.2">
      <c r="K131" s="6">
        <v>3</v>
      </c>
    </row>
    <row r="132" spans="11:11" x14ac:dyDescent="0.2">
      <c r="K132" s="6">
        <v>3</v>
      </c>
    </row>
    <row r="133" spans="11:11" x14ac:dyDescent="0.2">
      <c r="K133" s="6">
        <v>3</v>
      </c>
    </row>
    <row r="134" spans="11:11" x14ac:dyDescent="0.2">
      <c r="K134" s="6">
        <v>3</v>
      </c>
    </row>
    <row r="135" spans="11:11" x14ac:dyDescent="0.2">
      <c r="K135" s="6">
        <v>3</v>
      </c>
    </row>
    <row r="136" spans="11:11" x14ac:dyDescent="0.2">
      <c r="K136" s="6">
        <v>3</v>
      </c>
    </row>
    <row r="137" spans="11:11" x14ac:dyDescent="0.2">
      <c r="K137" s="6">
        <v>3</v>
      </c>
    </row>
    <row r="138" spans="11:11" x14ac:dyDescent="0.2">
      <c r="K138" s="6">
        <v>3</v>
      </c>
    </row>
    <row r="139" spans="11:11" x14ac:dyDescent="0.2">
      <c r="K139" s="6">
        <v>3</v>
      </c>
    </row>
    <row r="140" spans="11:11" x14ac:dyDescent="0.2">
      <c r="K140" s="6">
        <v>3</v>
      </c>
    </row>
    <row r="141" spans="11:11" x14ac:dyDescent="0.2">
      <c r="K141" s="6">
        <v>3</v>
      </c>
    </row>
    <row r="142" spans="11:11" x14ac:dyDescent="0.2">
      <c r="K142" s="6">
        <v>3</v>
      </c>
    </row>
    <row r="143" spans="11:11" x14ac:dyDescent="0.2">
      <c r="K143" s="6">
        <v>3</v>
      </c>
    </row>
    <row r="144" spans="11:11" x14ac:dyDescent="0.2">
      <c r="K144" s="6">
        <v>3</v>
      </c>
    </row>
    <row r="145" spans="11:11" x14ac:dyDescent="0.2">
      <c r="K145" s="6">
        <v>3</v>
      </c>
    </row>
    <row r="146" spans="11:11" x14ac:dyDescent="0.2">
      <c r="K146" s="6">
        <v>3</v>
      </c>
    </row>
    <row r="147" spans="11:11" x14ac:dyDescent="0.2">
      <c r="K147" s="6">
        <v>3</v>
      </c>
    </row>
    <row r="148" spans="11:11" x14ac:dyDescent="0.2">
      <c r="K148" s="6">
        <v>3</v>
      </c>
    </row>
    <row r="149" spans="11:11" x14ac:dyDescent="0.2">
      <c r="K149" s="6">
        <v>3</v>
      </c>
    </row>
    <row r="150" spans="11:11" x14ac:dyDescent="0.2">
      <c r="K150" s="6">
        <v>3</v>
      </c>
    </row>
    <row r="151" spans="11:11" x14ac:dyDescent="0.2">
      <c r="K151" s="6">
        <v>3</v>
      </c>
    </row>
    <row r="152" spans="11:11" x14ac:dyDescent="0.2">
      <c r="K152" s="6">
        <v>3</v>
      </c>
    </row>
    <row r="153" spans="11:11" x14ac:dyDescent="0.2">
      <c r="K153" s="6">
        <v>3</v>
      </c>
    </row>
    <row r="154" spans="11:11" x14ac:dyDescent="0.2">
      <c r="K154" s="6">
        <v>3</v>
      </c>
    </row>
    <row r="155" spans="11:11" x14ac:dyDescent="0.2">
      <c r="K155" s="6">
        <v>3</v>
      </c>
    </row>
    <row r="156" spans="11:11" x14ac:dyDescent="0.2">
      <c r="K156" s="6">
        <v>3</v>
      </c>
    </row>
    <row r="157" spans="11:11" x14ac:dyDescent="0.2">
      <c r="K157" s="6">
        <v>3</v>
      </c>
    </row>
    <row r="158" spans="11:11" x14ac:dyDescent="0.2">
      <c r="K158" s="6">
        <v>3</v>
      </c>
    </row>
    <row r="159" spans="11:11" x14ac:dyDescent="0.2">
      <c r="K159" s="6">
        <v>3</v>
      </c>
    </row>
    <row r="160" spans="11:11" x14ac:dyDescent="0.2">
      <c r="K160" s="6">
        <v>3</v>
      </c>
    </row>
    <row r="161" spans="11:11" x14ac:dyDescent="0.2">
      <c r="K161" s="6">
        <v>3</v>
      </c>
    </row>
    <row r="162" spans="11:11" x14ac:dyDescent="0.2">
      <c r="K162" s="6">
        <v>3</v>
      </c>
    </row>
    <row r="163" spans="11:11" x14ac:dyDescent="0.2">
      <c r="K163" s="6">
        <v>3</v>
      </c>
    </row>
    <row r="164" spans="11:11" x14ac:dyDescent="0.2">
      <c r="K164" s="6">
        <v>3</v>
      </c>
    </row>
    <row r="165" spans="11:11" x14ac:dyDescent="0.2">
      <c r="K165" s="6">
        <v>3</v>
      </c>
    </row>
    <row r="166" spans="11:11" x14ac:dyDescent="0.2">
      <c r="K166" s="6">
        <v>3</v>
      </c>
    </row>
    <row r="167" spans="11:11" x14ac:dyDescent="0.2">
      <c r="K167" s="6">
        <v>3</v>
      </c>
    </row>
    <row r="168" spans="11:11" x14ac:dyDescent="0.2">
      <c r="K168" s="6">
        <v>3</v>
      </c>
    </row>
    <row r="169" spans="11:11" x14ac:dyDescent="0.2">
      <c r="K169" s="6">
        <v>3</v>
      </c>
    </row>
    <row r="170" spans="11:11" x14ac:dyDescent="0.2">
      <c r="K170" s="6">
        <v>4</v>
      </c>
    </row>
    <row r="171" spans="11:11" x14ac:dyDescent="0.2">
      <c r="K171" s="6">
        <v>4</v>
      </c>
    </row>
    <row r="172" spans="11:11" x14ac:dyDescent="0.2">
      <c r="K172" s="6">
        <v>4</v>
      </c>
    </row>
    <row r="173" spans="11:11" x14ac:dyDescent="0.2">
      <c r="K173" s="6">
        <v>4</v>
      </c>
    </row>
    <row r="174" spans="11:11" x14ac:dyDescent="0.2">
      <c r="K174" s="6">
        <v>4</v>
      </c>
    </row>
    <row r="175" spans="11:11" x14ac:dyDescent="0.2">
      <c r="K175" s="6">
        <v>4</v>
      </c>
    </row>
    <row r="176" spans="11:11" x14ac:dyDescent="0.2">
      <c r="K176" s="6">
        <v>4</v>
      </c>
    </row>
    <row r="177" spans="11:11" x14ac:dyDescent="0.2">
      <c r="K177" s="6">
        <v>4</v>
      </c>
    </row>
    <row r="178" spans="11:11" x14ac:dyDescent="0.2">
      <c r="K178" s="6">
        <v>4</v>
      </c>
    </row>
    <row r="179" spans="11:11" x14ac:dyDescent="0.2">
      <c r="K179" s="6">
        <v>4</v>
      </c>
    </row>
    <row r="180" spans="11:11" x14ac:dyDescent="0.2">
      <c r="K180" s="6">
        <v>4</v>
      </c>
    </row>
    <row r="181" spans="11:11" x14ac:dyDescent="0.2">
      <c r="K181" s="6">
        <v>4</v>
      </c>
    </row>
    <row r="182" spans="11:11" x14ac:dyDescent="0.2">
      <c r="K182" s="6">
        <v>4</v>
      </c>
    </row>
    <row r="183" spans="11:11" x14ac:dyDescent="0.2">
      <c r="K183" s="6">
        <v>4</v>
      </c>
    </row>
    <row r="184" spans="11:11" x14ac:dyDescent="0.2">
      <c r="K184" s="6">
        <v>4</v>
      </c>
    </row>
    <row r="185" spans="11:11" x14ac:dyDescent="0.2">
      <c r="K185" s="6">
        <v>4</v>
      </c>
    </row>
    <row r="186" spans="11:11" x14ac:dyDescent="0.2">
      <c r="K186" s="6">
        <v>4</v>
      </c>
    </row>
    <row r="187" spans="11:11" x14ac:dyDescent="0.2">
      <c r="K187" s="6">
        <v>4</v>
      </c>
    </row>
    <row r="188" spans="11:11" x14ac:dyDescent="0.2">
      <c r="K188" s="6">
        <v>4</v>
      </c>
    </row>
    <row r="189" spans="11:11" x14ac:dyDescent="0.2">
      <c r="K189" s="6">
        <v>4</v>
      </c>
    </row>
    <row r="190" spans="11:11" x14ac:dyDescent="0.2">
      <c r="K190" s="6">
        <v>4</v>
      </c>
    </row>
    <row r="191" spans="11:11" x14ac:dyDescent="0.2">
      <c r="K191" s="6">
        <v>4</v>
      </c>
    </row>
    <row r="192" spans="11:11" x14ac:dyDescent="0.2">
      <c r="K192" s="6">
        <v>4</v>
      </c>
    </row>
    <row r="193" spans="11:11" x14ac:dyDescent="0.2">
      <c r="K193" s="6">
        <v>4</v>
      </c>
    </row>
    <row r="194" spans="11:11" x14ac:dyDescent="0.2">
      <c r="K194" s="6">
        <v>4</v>
      </c>
    </row>
    <row r="195" spans="11:11" x14ac:dyDescent="0.2">
      <c r="K195" s="6">
        <v>4</v>
      </c>
    </row>
    <row r="196" spans="11:11" x14ac:dyDescent="0.2">
      <c r="K196" s="6">
        <v>4</v>
      </c>
    </row>
    <row r="197" spans="11:11" x14ac:dyDescent="0.2">
      <c r="K197" s="6">
        <v>4</v>
      </c>
    </row>
    <row r="198" spans="11:11" x14ac:dyDescent="0.2">
      <c r="K198" s="6">
        <v>4</v>
      </c>
    </row>
    <row r="199" spans="11:11" x14ac:dyDescent="0.2">
      <c r="K199" s="6">
        <v>4</v>
      </c>
    </row>
    <row r="200" spans="11:11" x14ac:dyDescent="0.2">
      <c r="K200" s="6">
        <v>4</v>
      </c>
    </row>
    <row r="201" spans="11:11" x14ac:dyDescent="0.2">
      <c r="K201" s="6">
        <v>4</v>
      </c>
    </row>
    <row r="202" spans="11:11" x14ac:dyDescent="0.2">
      <c r="K202" s="6">
        <v>4</v>
      </c>
    </row>
    <row r="203" spans="11:11" x14ac:dyDescent="0.2">
      <c r="K203" s="6">
        <v>4</v>
      </c>
    </row>
    <row r="204" spans="11:11" x14ac:dyDescent="0.2">
      <c r="K204" s="6">
        <v>4</v>
      </c>
    </row>
    <row r="205" spans="11:11" x14ac:dyDescent="0.2">
      <c r="K205" s="6">
        <v>4</v>
      </c>
    </row>
    <row r="206" spans="11:11" x14ac:dyDescent="0.2">
      <c r="K206" s="6">
        <v>4</v>
      </c>
    </row>
    <row r="207" spans="11:11" x14ac:dyDescent="0.2">
      <c r="K207" s="6">
        <v>4</v>
      </c>
    </row>
    <row r="208" spans="11:11" x14ac:dyDescent="0.2">
      <c r="K208" s="6">
        <v>4</v>
      </c>
    </row>
    <row r="209" spans="11:11" x14ac:dyDescent="0.2">
      <c r="K209" s="6">
        <v>4</v>
      </c>
    </row>
    <row r="210" spans="11:11" x14ac:dyDescent="0.2">
      <c r="K210" s="6">
        <v>4</v>
      </c>
    </row>
    <row r="211" spans="11:11" x14ac:dyDescent="0.2">
      <c r="K211" s="6">
        <v>4</v>
      </c>
    </row>
    <row r="212" spans="11:11" x14ac:dyDescent="0.2">
      <c r="K212" s="6">
        <v>4</v>
      </c>
    </row>
    <row r="213" spans="11:11" x14ac:dyDescent="0.2">
      <c r="K213" s="6">
        <v>4</v>
      </c>
    </row>
    <row r="214" spans="11:11" x14ac:dyDescent="0.2">
      <c r="K214" s="6">
        <v>4</v>
      </c>
    </row>
    <row r="215" spans="11:11" x14ac:dyDescent="0.2">
      <c r="K215" s="6">
        <v>5</v>
      </c>
    </row>
    <row r="216" spans="11:11" x14ac:dyDescent="0.2">
      <c r="K216" s="6">
        <v>5</v>
      </c>
    </row>
    <row r="217" spans="11:11" x14ac:dyDescent="0.2">
      <c r="K217" s="6">
        <v>5</v>
      </c>
    </row>
    <row r="218" spans="11:11" x14ac:dyDescent="0.2">
      <c r="K218" s="6">
        <v>5</v>
      </c>
    </row>
    <row r="219" spans="11:11" x14ac:dyDescent="0.2">
      <c r="K219" s="6">
        <v>5</v>
      </c>
    </row>
    <row r="220" spans="11:11" x14ac:dyDescent="0.2">
      <c r="K220" s="6">
        <v>5</v>
      </c>
    </row>
    <row r="221" spans="11:11" x14ac:dyDescent="0.2">
      <c r="K221" s="6">
        <v>5</v>
      </c>
    </row>
    <row r="222" spans="11:11" x14ac:dyDescent="0.2">
      <c r="K222" s="6">
        <v>5</v>
      </c>
    </row>
    <row r="223" spans="11:11" x14ac:dyDescent="0.2">
      <c r="K223" s="6">
        <v>5</v>
      </c>
    </row>
    <row r="224" spans="11:11" x14ac:dyDescent="0.2">
      <c r="K224" s="6">
        <v>5</v>
      </c>
    </row>
    <row r="225" spans="11:11" x14ac:dyDescent="0.2">
      <c r="K225" s="6">
        <v>5</v>
      </c>
    </row>
    <row r="226" spans="11:11" x14ac:dyDescent="0.2">
      <c r="K226" s="6">
        <v>5</v>
      </c>
    </row>
    <row r="227" spans="11:11" x14ac:dyDescent="0.2">
      <c r="K227" s="6">
        <v>5</v>
      </c>
    </row>
    <row r="228" spans="11:11" x14ac:dyDescent="0.2">
      <c r="K228" s="6">
        <v>5</v>
      </c>
    </row>
    <row r="229" spans="11:11" x14ac:dyDescent="0.2">
      <c r="K229" s="6">
        <v>5</v>
      </c>
    </row>
    <row r="230" spans="11:11" x14ac:dyDescent="0.2">
      <c r="K230" s="6">
        <v>5</v>
      </c>
    </row>
    <row r="231" spans="11:11" x14ac:dyDescent="0.2">
      <c r="K231" s="6">
        <v>5</v>
      </c>
    </row>
    <row r="232" spans="11:11" x14ac:dyDescent="0.2">
      <c r="K232" s="6">
        <v>5</v>
      </c>
    </row>
    <row r="233" spans="11:11" x14ac:dyDescent="0.2">
      <c r="K233" s="6">
        <v>5</v>
      </c>
    </row>
    <row r="234" spans="11:11" x14ac:dyDescent="0.2">
      <c r="K234" s="6">
        <v>5</v>
      </c>
    </row>
    <row r="235" spans="11:11" x14ac:dyDescent="0.2">
      <c r="K235" s="6">
        <v>5</v>
      </c>
    </row>
    <row r="236" spans="11:11" x14ac:dyDescent="0.2">
      <c r="K236" s="6">
        <v>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04908-14A2-4203-9495-7B99116F6535}">
  <dimension ref="A1:K236"/>
  <sheetViews>
    <sheetView workbookViewId="0">
      <selection activeCell="B1" sqref="B1:B7"/>
    </sheetView>
  </sheetViews>
  <sheetFormatPr baseColWidth="10" defaultRowHeight="12.75" x14ac:dyDescent="0.2"/>
  <cols>
    <col min="1" max="1" width="37.42578125" bestFit="1" customWidth="1"/>
    <col min="2" max="2" width="28" bestFit="1" customWidth="1"/>
    <col min="3" max="3" width="21.5703125" bestFit="1" customWidth="1"/>
    <col min="4" max="4" width="38" bestFit="1" customWidth="1"/>
    <col min="7" max="7" width="18.85546875" bestFit="1" customWidth="1"/>
  </cols>
  <sheetData>
    <row r="1" spans="1:11" x14ac:dyDescent="0.2">
      <c r="A1" s="6" t="s">
        <v>431</v>
      </c>
      <c r="B1" s="6" t="s">
        <v>432</v>
      </c>
      <c r="C1" s="6" t="s">
        <v>438</v>
      </c>
      <c r="D1" s="6" t="s">
        <v>437</v>
      </c>
      <c r="G1" s="8" t="s">
        <v>434</v>
      </c>
    </row>
    <row r="2" spans="1:11" x14ac:dyDescent="0.2">
      <c r="A2" s="6">
        <v>1</v>
      </c>
      <c r="B2" s="6">
        <v>30</v>
      </c>
      <c r="C2" s="6">
        <f t="shared" ref="C2:C6" si="0" xml:space="preserve"> A2*B2</f>
        <v>30</v>
      </c>
      <c r="D2" s="13">
        <f t="shared" ref="D2:D7" si="1">B2/$B$7*100</f>
        <v>12.76595744680851</v>
      </c>
      <c r="G2" s="8">
        <f>SUM(C2:C6)</f>
        <v>643</v>
      </c>
      <c r="K2" s="6">
        <v>1</v>
      </c>
    </row>
    <row r="3" spans="1:11" x14ac:dyDescent="0.2">
      <c r="A3" s="6">
        <v>2</v>
      </c>
      <c r="B3" s="6">
        <v>67</v>
      </c>
      <c r="C3" s="6">
        <f t="shared" si="0"/>
        <v>134</v>
      </c>
      <c r="D3" s="13">
        <f t="shared" si="1"/>
        <v>28.510638297872344</v>
      </c>
      <c r="F3" s="7" t="s">
        <v>435</v>
      </c>
      <c r="G3" s="7">
        <f>G2/235</f>
        <v>2.7361702127659573</v>
      </c>
      <c r="K3" s="6">
        <v>1</v>
      </c>
    </row>
    <row r="4" spans="1:11" x14ac:dyDescent="0.2">
      <c r="A4" s="6">
        <v>3</v>
      </c>
      <c r="B4" s="6">
        <v>89</v>
      </c>
      <c r="C4" s="6">
        <f t="shared" si="0"/>
        <v>267</v>
      </c>
      <c r="D4" s="13">
        <f t="shared" si="1"/>
        <v>37.872340425531917</v>
      </c>
      <c r="K4" s="6">
        <v>1</v>
      </c>
    </row>
    <row r="5" spans="1:11" x14ac:dyDescent="0.2">
      <c r="A5" s="6">
        <v>4</v>
      </c>
      <c r="B5" s="6">
        <v>33</v>
      </c>
      <c r="C5" s="6">
        <f t="shared" si="0"/>
        <v>132</v>
      </c>
      <c r="D5" s="13">
        <f t="shared" si="1"/>
        <v>14.042553191489363</v>
      </c>
      <c r="K5" s="6">
        <v>1</v>
      </c>
    </row>
    <row r="6" spans="1:11" x14ac:dyDescent="0.2">
      <c r="A6" s="6">
        <v>5</v>
      </c>
      <c r="B6" s="6">
        <v>16</v>
      </c>
      <c r="C6" s="6">
        <f t="shared" si="0"/>
        <v>80</v>
      </c>
      <c r="D6" s="13">
        <f t="shared" si="1"/>
        <v>6.8085106382978724</v>
      </c>
      <c r="K6" s="6">
        <v>1</v>
      </c>
    </row>
    <row r="7" spans="1:11" x14ac:dyDescent="0.2">
      <c r="A7" t="s">
        <v>433</v>
      </c>
      <c r="B7" s="5">
        <f xml:space="preserve"> SUM(B2:B6)</f>
        <v>235</v>
      </c>
      <c r="C7" s="6"/>
      <c r="D7" s="6">
        <f t="shared" si="1"/>
        <v>100</v>
      </c>
      <c r="K7" s="6">
        <v>1</v>
      </c>
    </row>
    <row r="8" spans="1:11" x14ac:dyDescent="0.2">
      <c r="G8" s="21" t="s">
        <v>470</v>
      </c>
      <c r="I8" s="6"/>
      <c r="K8" s="6">
        <v>1</v>
      </c>
    </row>
    <row r="9" spans="1:11" x14ac:dyDescent="0.2">
      <c r="G9" s="6">
        <f>MODE(K2:K236)</f>
        <v>3</v>
      </c>
      <c r="I9" s="21" t="s">
        <v>472</v>
      </c>
      <c r="K9" s="6">
        <v>1</v>
      </c>
    </row>
    <row r="10" spans="1:11" x14ac:dyDescent="0.2">
      <c r="I10" s="6">
        <f>MAX(K2:K236)-MIN(K2:K236)</f>
        <v>4</v>
      </c>
      <c r="K10" s="6">
        <v>1</v>
      </c>
    </row>
    <row r="11" spans="1:11" x14ac:dyDescent="0.2">
      <c r="A11" s="7" t="s">
        <v>436</v>
      </c>
      <c r="B11" s="22" t="s">
        <v>468</v>
      </c>
      <c r="G11" s="21" t="s">
        <v>469</v>
      </c>
      <c r="K11" s="6">
        <v>1</v>
      </c>
    </row>
    <row r="12" spans="1:11" x14ac:dyDescent="0.2">
      <c r="A12" s="14" cm="1">
        <f t="array" ref="A12">SQRT(SUMPRODUCT(B2:B6,(A2:A6-$G$3)^2)/(SUM(B2:B6)-1))</f>
        <v>1.0694725778791265</v>
      </c>
      <c r="B12" s="13">
        <f>G2/B7</f>
        <v>2.7361702127659573</v>
      </c>
      <c r="G12" s="6">
        <f>MEDIAN(K2:K236)</f>
        <v>3</v>
      </c>
      <c r="K12" s="6">
        <v>1</v>
      </c>
    </row>
    <row r="13" spans="1:11" x14ac:dyDescent="0.2">
      <c r="B13" s="22" t="s">
        <v>473</v>
      </c>
      <c r="G13" s="21" t="s">
        <v>471</v>
      </c>
      <c r="K13" s="6">
        <v>1</v>
      </c>
    </row>
    <row r="14" spans="1:11" x14ac:dyDescent="0.2">
      <c r="B14" s="23">
        <f>(A12/B12)*100</f>
        <v>39.086478351725468</v>
      </c>
      <c r="G14" s="6">
        <f>_xlfn.VAR.S(K2:K236)</f>
        <v>1.143771594835425</v>
      </c>
      <c r="K14" s="6">
        <v>1</v>
      </c>
    </row>
    <row r="15" spans="1:11" x14ac:dyDescent="0.2">
      <c r="K15" s="6">
        <v>1</v>
      </c>
    </row>
    <row r="16" spans="1:11" x14ac:dyDescent="0.2">
      <c r="B16" s="13"/>
      <c r="K16" s="6">
        <v>1</v>
      </c>
    </row>
    <row r="17" spans="11:11" x14ac:dyDescent="0.2">
      <c r="K17" s="6">
        <v>1</v>
      </c>
    </row>
    <row r="18" spans="11:11" x14ac:dyDescent="0.2">
      <c r="K18" s="6">
        <v>1</v>
      </c>
    </row>
    <row r="19" spans="11:11" x14ac:dyDescent="0.2">
      <c r="K19" s="6">
        <v>1</v>
      </c>
    </row>
    <row r="20" spans="11:11" x14ac:dyDescent="0.2">
      <c r="K20" s="6">
        <v>1</v>
      </c>
    </row>
    <row r="21" spans="11:11" x14ac:dyDescent="0.2">
      <c r="K21" s="6">
        <v>1</v>
      </c>
    </row>
    <row r="22" spans="11:11" x14ac:dyDescent="0.2">
      <c r="K22" s="6">
        <v>1</v>
      </c>
    </row>
    <row r="23" spans="11:11" x14ac:dyDescent="0.2">
      <c r="K23" s="6">
        <v>1</v>
      </c>
    </row>
    <row r="24" spans="11:11" x14ac:dyDescent="0.2">
      <c r="K24" s="6">
        <v>1</v>
      </c>
    </row>
    <row r="25" spans="11:11" x14ac:dyDescent="0.2">
      <c r="K25" s="6">
        <v>1</v>
      </c>
    </row>
    <row r="26" spans="11:11" x14ac:dyDescent="0.2">
      <c r="K26" s="6">
        <v>1</v>
      </c>
    </row>
    <row r="27" spans="11:11" x14ac:dyDescent="0.2">
      <c r="K27" s="6">
        <v>1</v>
      </c>
    </row>
    <row r="28" spans="11:11" x14ac:dyDescent="0.2">
      <c r="K28" s="6">
        <v>1</v>
      </c>
    </row>
    <row r="29" spans="11:11" x14ac:dyDescent="0.2">
      <c r="K29" s="6">
        <v>1</v>
      </c>
    </row>
    <row r="30" spans="11:11" x14ac:dyDescent="0.2">
      <c r="K30" s="6">
        <v>1</v>
      </c>
    </row>
    <row r="31" spans="11:11" x14ac:dyDescent="0.2">
      <c r="K31" s="6">
        <v>1</v>
      </c>
    </row>
    <row r="32" spans="11:11" x14ac:dyDescent="0.2">
      <c r="K32" s="6">
        <v>2</v>
      </c>
    </row>
    <row r="33" spans="11:11" x14ac:dyDescent="0.2">
      <c r="K33" s="6">
        <v>2</v>
      </c>
    </row>
    <row r="34" spans="11:11" x14ac:dyDescent="0.2">
      <c r="K34" s="6">
        <v>2</v>
      </c>
    </row>
    <row r="35" spans="11:11" x14ac:dyDescent="0.2">
      <c r="K35" s="6">
        <v>2</v>
      </c>
    </row>
    <row r="36" spans="11:11" x14ac:dyDescent="0.2">
      <c r="K36" s="6">
        <v>2</v>
      </c>
    </row>
    <row r="37" spans="11:11" x14ac:dyDescent="0.2">
      <c r="K37" s="6">
        <v>2</v>
      </c>
    </row>
    <row r="38" spans="11:11" x14ac:dyDescent="0.2">
      <c r="K38" s="6">
        <v>2</v>
      </c>
    </row>
    <row r="39" spans="11:11" x14ac:dyDescent="0.2">
      <c r="K39" s="6">
        <v>2</v>
      </c>
    </row>
    <row r="40" spans="11:11" x14ac:dyDescent="0.2">
      <c r="K40" s="6">
        <v>2</v>
      </c>
    </row>
    <row r="41" spans="11:11" x14ac:dyDescent="0.2">
      <c r="K41" s="6">
        <v>2</v>
      </c>
    </row>
    <row r="42" spans="11:11" x14ac:dyDescent="0.2">
      <c r="K42" s="6">
        <v>2</v>
      </c>
    </row>
    <row r="43" spans="11:11" x14ac:dyDescent="0.2">
      <c r="K43" s="6">
        <v>2</v>
      </c>
    </row>
    <row r="44" spans="11:11" x14ac:dyDescent="0.2">
      <c r="K44" s="6">
        <v>2</v>
      </c>
    </row>
    <row r="45" spans="11:11" x14ac:dyDescent="0.2">
      <c r="K45" s="6">
        <v>2</v>
      </c>
    </row>
    <row r="46" spans="11:11" x14ac:dyDescent="0.2">
      <c r="K46" s="6">
        <v>2</v>
      </c>
    </row>
    <row r="47" spans="11:11" x14ac:dyDescent="0.2">
      <c r="K47" s="6">
        <v>2</v>
      </c>
    </row>
    <row r="48" spans="11:11" x14ac:dyDescent="0.2">
      <c r="K48" s="6">
        <v>2</v>
      </c>
    </row>
    <row r="49" spans="11:11" x14ac:dyDescent="0.2">
      <c r="K49" s="6">
        <v>2</v>
      </c>
    </row>
    <row r="50" spans="11:11" x14ac:dyDescent="0.2">
      <c r="K50" s="6">
        <v>2</v>
      </c>
    </row>
    <row r="51" spans="11:11" x14ac:dyDescent="0.2">
      <c r="K51" s="6">
        <v>2</v>
      </c>
    </row>
    <row r="52" spans="11:11" x14ac:dyDescent="0.2">
      <c r="K52" s="6">
        <v>2</v>
      </c>
    </row>
    <row r="53" spans="11:11" x14ac:dyDescent="0.2">
      <c r="K53" s="6">
        <v>2</v>
      </c>
    </row>
    <row r="54" spans="11:11" x14ac:dyDescent="0.2">
      <c r="K54" s="6">
        <v>2</v>
      </c>
    </row>
    <row r="55" spans="11:11" x14ac:dyDescent="0.2">
      <c r="K55" s="6">
        <v>2</v>
      </c>
    </row>
    <row r="56" spans="11:11" x14ac:dyDescent="0.2">
      <c r="K56" s="6">
        <v>2</v>
      </c>
    </row>
    <row r="57" spans="11:11" x14ac:dyDescent="0.2">
      <c r="K57" s="6">
        <v>2</v>
      </c>
    </row>
    <row r="58" spans="11:11" x14ac:dyDescent="0.2">
      <c r="K58" s="6">
        <v>2</v>
      </c>
    </row>
    <row r="59" spans="11:11" x14ac:dyDescent="0.2">
      <c r="K59" s="6">
        <v>2</v>
      </c>
    </row>
    <row r="60" spans="11:11" x14ac:dyDescent="0.2">
      <c r="K60" s="6">
        <v>2</v>
      </c>
    </row>
    <row r="61" spans="11:11" x14ac:dyDescent="0.2">
      <c r="K61" s="6">
        <v>2</v>
      </c>
    </row>
    <row r="62" spans="11:11" x14ac:dyDescent="0.2">
      <c r="K62" s="6">
        <v>2</v>
      </c>
    </row>
    <row r="63" spans="11:11" x14ac:dyDescent="0.2">
      <c r="K63" s="6">
        <v>2</v>
      </c>
    </row>
    <row r="64" spans="11:11" x14ac:dyDescent="0.2">
      <c r="K64" s="6">
        <v>2</v>
      </c>
    </row>
    <row r="65" spans="11:11" x14ac:dyDescent="0.2">
      <c r="K65" s="6">
        <v>2</v>
      </c>
    </row>
    <row r="66" spans="11:11" x14ac:dyDescent="0.2">
      <c r="K66" s="6">
        <v>2</v>
      </c>
    </row>
    <row r="67" spans="11:11" x14ac:dyDescent="0.2">
      <c r="K67" s="6">
        <v>2</v>
      </c>
    </row>
    <row r="68" spans="11:11" x14ac:dyDescent="0.2">
      <c r="K68" s="6">
        <v>2</v>
      </c>
    </row>
    <row r="69" spans="11:11" x14ac:dyDescent="0.2">
      <c r="K69" s="6">
        <v>2</v>
      </c>
    </row>
    <row r="70" spans="11:11" x14ac:dyDescent="0.2">
      <c r="K70" s="6">
        <v>2</v>
      </c>
    </row>
    <row r="71" spans="11:11" x14ac:dyDescent="0.2">
      <c r="K71" s="6">
        <v>2</v>
      </c>
    </row>
    <row r="72" spans="11:11" x14ac:dyDescent="0.2">
      <c r="K72" s="6">
        <v>2</v>
      </c>
    </row>
    <row r="73" spans="11:11" x14ac:dyDescent="0.2">
      <c r="K73" s="6">
        <v>2</v>
      </c>
    </row>
    <row r="74" spans="11:11" x14ac:dyDescent="0.2">
      <c r="K74" s="6">
        <v>2</v>
      </c>
    </row>
    <row r="75" spans="11:11" x14ac:dyDescent="0.2">
      <c r="K75" s="6">
        <v>2</v>
      </c>
    </row>
    <row r="76" spans="11:11" x14ac:dyDescent="0.2">
      <c r="K76" s="6">
        <v>2</v>
      </c>
    </row>
    <row r="77" spans="11:11" x14ac:dyDescent="0.2">
      <c r="K77" s="6">
        <v>2</v>
      </c>
    </row>
    <row r="78" spans="11:11" x14ac:dyDescent="0.2">
      <c r="K78" s="6">
        <v>2</v>
      </c>
    </row>
    <row r="79" spans="11:11" x14ac:dyDescent="0.2">
      <c r="K79" s="6">
        <v>2</v>
      </c>
    </row>
    <row r="80" spans="11:11" x14ac:dyDescent="0.2">
      <c r="K80" s="6">
        <v>2</v>
      </c>
    </row>
    <row r="81" spans="11:11" x14ac:dyDescent="0.2">
      <c r="K81" s="6">
        <v>2</v>
      </c>
    </row>
    <row r="82" spans="11:11" x14ac:dyDescent="0.2">
      <c r="K82" s="6">
        <v>2</v>
      </c>
    </row>
    <row r="83" spans="11:11" x14ac:dyDescent="0.2">
      <c r="K83" s="6">
        <v>2</v>
      </c>
    </row>
    <row r="84" spans="11:11" x14ac:dyDescent="0.2">
      <c r="K84" s="6">
        <v>2</v>
      </c>
    </row>
    <row r="85" spans="11:11" x14ac:dyDescent="0.2">
      <c r="K85" s="6">
        <v>2</v>
      </c>
    </row>
    <row r="86" spans="11:11" x14ac:dyDescent="0.2">
      <c r="K86" s="6">
        <v>2</v>
      </c>
    </row>
    <row r="87" spans="11:11" x14ac:dyDescent="0.2">
      <c r="K87" s="6">
        <v>2</v>
      </c>
    </row>
    <row r="88" spans="11:11" x14ac:dyDescent="0.2">
      <c r="K88" s="6">
        <v>2</v>
      </c>
    </row>
    <row r="89" spans="11:11" x14ac:dyDescent="0.2">
      <c r="K89" s="6">
        <v>2</v>
      </c>
    </row>
    <row r="90" spans="11:11" x14ac:dyDescent="0.2">
      <c r="K90" s="6">
        <v>2</v>
      </c>
    </row>
    <row r="91" spans="11:11" x14ac:dyDescent="0.2">
      <c r="K91" s="6">
        <v>2</v>
      </c>
    </row>
    <row r="92" spans="11:11" x14ac:dyDescent="0.2">
      <c r="K92" s="6">
        <v>2</v>
      </c>
    </row>
    <row r="93" spans="11:11" x14ac:dyDescent="0.2">
      <c r="K93" s="6">
        <v>2</v>
      </c>
    </row>
    <row r="94" spans="11:11" x14ac:dyDescent="0.2">
      <c r="K94" s="6">
        <v>2</v>
      </c>
    </row>
    <row r="95" spans="11:11" x14ac:dyDescent="0.2">
      <c r="K95" s="6">
        <v>2</v>
      </c>
    </row>
    <row r="96" spans="11:11" x14ac:dyDescent="0.2">
      <c r="K96" s="6">
        <v>2</v>
      </c>
    </row>
    <row r="97" spans="11:11" x14ac:dyDescent="0.2">
      <c r="K97" s="6">
        <v>2</v>
      </c>
    </row>
    <row r="98" spans="11:11" x14ac:dyDescent="0.2">
      <c r="K98" s="6">
        <v>2</v>
      </c>
    </row>
    <row r="99" spans="11:11" x14ac:dyDescent="0.2">
      <c r="K99" s="6">
        <v>3</v>
      </c>
    </row>
    <row r="100" spans="11:11" x14ac:dyDescent="0.2">
      <c r="K100" s="6">
        <v>3</v>
      </c>
    </row>
    <row r="101" spans="11:11" x14ac:dyDescent="0.2">
      <c r="K101" s="6">
        <v>3</v>
      </c>
    </row>
    <row r="102" spans="11:11" x14ac:dyDescent="0.2">
      <c r="K102" s="6">
        <v>3</v>
      </c>
    </row>
    <row r="103" spans="11:11" x14ac:dyDescent="0.2">
      <c r="K103" s="6">
        <v>3</v>
      </c>
    </row>
    <row r="104" spans="11:11" x14ac:dyDescent="0.2">
      <c r="K104" s="6">
        <v>3</v>
      </c>
    </row>
    <row r="105" spans="11:11" x14ac:dyDescent="0.2">
      <c r="K105" s="6">
        <v>3</v>
      </c>
    </row>
    <row r="106" spans="11:11" x14ac:dyDescent="0.2">
      <c r="K106" s="6">
        <v>3</v>
      </c>
    </row>
    <row r="107" spans="11:11" x14ac:dyDescent="0.2">
      <c r="K107" s="6">
        <v>3</v>
      </c>
    </row>
    <row r="108" spans="11:11" x14ac:dyDescent="0.2">
      <c r="K108" s="6">
        <v>3</v>
      </c>
    </row>
    <row r="109" spans="11:11" x14ac:dyDescent="0.2">
      <c r="K109" s="6">
        <v>3</v>
      </c>
    </row>
    <row r="110" spans="11:11" x14ac:dyDescent="0.2">
      <c r="K110" s="6">
        <v>3</v>
      </c>
    </row>
    <row r="111" spans="11:11" x14ac:dyDescent="0.2">
      <c r="K111" s="6">
        <v>3</v>
      </c>
    </row>
    <row r="112" spans="11:11" x14ac:dyDescent="0.2">
      <c r="K112" s="6">
        <v>3</v>
      </c>
    </row>
    <row r="113" spans="11:11" x14ac:dyDescent="0.2">
      <c r="K113" s="6">
        <v>3</v>
      </c>
    </row>
    <row r="114" spans="11:11" x14ac:dyDescent="0.2">
      <c r="K114" s="6">
        <v>3</v>
      </c>
    </row>
    <row r="115" spans="11:11" x14ac:dyDescent="0.2">
      <c r="K115" s="6">
        <v>3</v>
      </c>
    </row>
    <row r="116" spans="11:11" x14ac:dyDescent="0.2">
      <c r="K116" s="6">
        <v>3</v>
      </c>
    </row>
    <row r="117" spans="11:11" x14ac:dyDescent="0.2">
      <c r="K117" s="6">
        <v>3</v>
      </c>
    </row>
    <row r="118" spans="11:11" x14ac:dyDescent="0.2">
      <c r="K118" s="6">
        <v>3</v>
      </c>
    </row>
    <row r="119" spans="11:11" x14ac:dyDescent="0.2">
      <c r="K119" s="6">
        <v>3</v>
      </c>
    </row>
    <row r="120" spans="11:11" x14ac:dyDescent="0.2">
      <c r="K120" s="6">
        <v>3</v>
      </c>
    </row>
    <row r="121" spans="11:11" x14ac:dyDescent="0.2">
      <c r="K121" s="6">
        <v>3</v>
      </c>
    </row>
    <row r="122" spans="11:11" x14ac:dyDescent="0.2">
      <c r="K122" s="6">
        <v>3</v>
      </c>
    </row>
    <row r="123" spans="11:11" x14ac:dyDescent="0.2">
      <c r="K123" s="6">
        <v>3</v>
      </c>
    </row>
    <row r="124" spans="11:11" x14ac:dyDescent="0.2">
      <c r="K124" s="6">
        <v>3</v>
      </c>
    </row>
    <row r="125" spans="11:11" x14ac:dyDescent="0.2">
      <c r="K125" s="6">
        <v>3</v>
      </c>
    </row>
    <row r="126" spans="11:11" x14ac:dyDescent="0.2">
      <c r="K126" s="6">
        <v>3</v>
      </c>
    </row>
    <row r="127" spans="11:11" x14ac:dyDescent="0.2">
      <c r="K127" s="6">
        <v>3</v>
      </c>
    </row>
    <row r="128" spans="11:11" x14ac:dyDescent="0.2">
      <c r="K128" s="6">
        <v>3</v>
      </c>
    </row>
    <row r="129" spans="11:11" x14ac:dyDescent="0.2">
      <c r="K129" s="6">
        <v>3</v>
      </c>
    </row>
    <row r="130" spans="11:11" x14ac:dyDescent="0.2">
      <c r="K130" s="6">
        <v>3</v>
      </c>
    </row>
    <row r="131" spans="11:11" x14ac:dyDescent="0.2">
      <c r="K131" s="6">
        <v>3</v>
      </c>
    </row>
    <row r="132" spans="11:11" x14ac:dyDescent="0.2">
      <c r="K132" s="6">
        <v>3</v>
      </c>
    </row>
    <row r="133" spans="11:11" x14ac:dyDescent="0.2">
      <c r="K133" s="6">
        <v>3</v>
      </c>
    </row>
    <row r="134" spans="11:11" x14ac:dyDescent="0.2">
      <c r="K134" s="6">
        <v>3</v>
      </c>
    </row>
    <row r="135" spans="11:11" x14ac:dyDescent="0.2">
      <c r="K135" s="6">
        <v>3</v>
      </c>
    </row>
    <row r="136" spans="11:11" x14ac:dyDescent="0.2">
      <c r="K136" s="6">
        <v>3</v>
      </c>
    </row>
    <row r="137" spans="11:11" x14ac:dyDescent="0.2">
      <c r="K137" s="6">
        <v>3</v>
      </c>
    </row>
    <row r="138" spans="11:11" x14ac:dyDescent="0.2">
      <c r="K138" s="6">
        <v>3</v>
      </c>
    </row>
    <row r="139" spans="11:11" x14ac:dyDescent="0.2">
      <c r="K139" s="6">
        <v>3</v>
      </c>
    </row>
    <row r="140" spans="11:11" x14ac:dyDescent="0.2">
      <c r="K140" s="6">
        <v>3</v>
      </c>
    </row>
    <row r="141" spans="11:11" x14ac:dyDescent="0.2">
      <c r="K141" s="6">
        <v>3</v>
      </c>
    </row>
    <row r="142" spans="11:11" x14ac:dyDescent="0.2">
      <c r="K142" s="6">
        <v>3</v>
      </c>
    </row>
    <row r="143" spans="11:11" x14ac:dyDescent="0.2">
      <c r="K143" s="6">
        <v>3</v>
      </c>
    </row>
    <row r="144" spans="11:11" x14ac:dyDescent="0.2">
      <c r="K144" s="6">
        <v>3</v>
      </c>
    </row>
    <row r="145" spans="11:11" x14ac:dyDescent="0.2">
      <c r="K145" s="6">
        <v>3</v>
      </c>
    </row>
    <row r="146" spans="11:11" x14ac:dyDescent="0.2">
      <c r="K146" s="6">
        <v>3</v>
      </c>
    </row>
    <row r="147" spans="11:11" x14ac:dyDescent="0.2">
      <c r="K147" s="6">
        <v>3</v>
      </c>
    </row>
    <row r="148" spans="11:11" x14ac:dyDescent="0.2">
      <c r="K148" s="6">
        <v>3</v>
      </c>
    </row>
    <row r="149" spans="11:11" x14ac:dyDescent="0.2">
      <c r="K149" s="6">
        <v>3</v>
      </c>
    </row>
    <row r="150" spans="11:11" x14ac:dyDescent="0.2">
      <c r="K150" s="6">
        <v>3</v>
      </c>
    </row>
    <row r="151" spans="11:11" x14ac:dyDescent="0.2">
      <c r="K151" s="6">
        <v>3</v>
      </c>
    </row>
    <row r="152" spans="11:11" x14ac:dyDescent="0.2">
      <c r="K152" s="6">
        <v>3</v>
      </c>
    </row>
    <row r="153" spans="11:11" x14ac:dyDescent="0.2">
      <c r="K153" s="6">
        <v>3</v>
      </c>
    </row>
    <row r="154" spans="11:11" x14ac:dyDescent="0.2">
      <c r="K154" s="6">
        <v>3</v>
      </c>
    </row>
    <row r="155" spans="11:11" x14ac:dyDescent="0.2">
      <c r="K155" s="6">
        <v>3</v>
      </c>
    </row>
    <row r="156" spans="11:11" x14ac:dyDescent="0.2">
      <c r="K156" s="6">
        <v>3</v>
      </c>
    </row>
    <row r="157" spans="11:11" x14ac:dyDescent="0.2">
      <c r="K157" s="6">
        <v>3</v>
      </c>
    </row>
    <row r="158" spans="11:11" x14ac:dyDescent="0.2">
      <c r="K158" s="6">
        <v>3</v>
      </c>
    </row>
    <row r="159" spans="11:11" x14ac:dyDescent="0.2">
      <c r="K159" s="6">
        <v>3</v>
      </c>
    </row>
    <row r="160" spans="11:11" x14ac:dyDescent="0.2">
      <c r="K160" s="6">
        <v>3</v>
      </c>
    </row>
    <row r="161" spans="11:11" x14ac:dyDescent="0.2">
      <c r="K161" s="6">
        <v>3</v>
      </c>
    </row>
    <row r="162" spans="11:11" x14ac:dyDescent="0.2">
      <c r="K162" s="6">
        <v>3</v>
      </c>
    </row>
    <row r="163" spans="11:11" x14ac:dyDescent="0.2">
      <c r="K163" s="6">
        <v>3</v>
      </c>
    </row>
    <row r="164" spans="11:11" x14ac:dyDescent="0.2">
      <c r="K164" s="6">
        <v>3</v>
      </c>
    </row>
    <row r="165" spans="11:11" x14ac:dyDescent="0.2">
      <c r="K165" s="6">
        <v>3</v>
      </c>
    </row>
    <row r="166" spans="11:11" x14ac:dyDescent="0.2">
      <c r="K166" s="6">
        <v>3</v>
      </c>
    </row>
    <row r="167" spans="11:11" x14ac:dyDescent="0.2">
      <c r="K167" s="6">
        <v>3</v>
      </c>
    </row>
    <row r="168" spans="11:11" x14ac:dyDescent="0.2">
      <c r="K168" s="6">
        <v>3</v>
      </c>
    </row>
    <row r="169" spans="11:11" x14ac:dyDescent="0.2">
      <c r="K169" s="6">
        <v>3</v>
      </c>
    </row>
    <row r="170" spans="11:11" x14ac:dyDescent="0.2">
      <c r="K170" s="6">
        <v>3</v>
      </c>
    </row>
    <row r="171" spans="11:11" x14ac:dyDescent="0.2">
      <c r="K171" s="6">
        <v>3</v>
      </c>
    </row>
    <row r="172" spans="11:11" x14ac:dyDescent="0.2">
      <c r="K172" s="6">
        <v>3</v>
      </c>
    </row>
    <row r="173" spans="11:11" x14ac:dyDescent="0.2">
      <c r="K173" s="6">
        <v>3</v>
      </c>
    </row>
    <row r="174" spans="11:11" x14ac:dyDescent="0.2">
      <c r="K174" s="6">
        <v>3</v>
      </c>
    </row>
    <row r="175" spans="11:11" x14ac:dyDescent="0.2">
      <c r="K175" s="6">
        <v>3</v>
      </c>
    </row>
    <row r="176" spans="11:11" x14ac:dyDescent="0.2">
      <c r="K176" s="6">
        <v>3</v>
      </c>
    </row>
    <row r="177" spans="11:11" x14ac:dyDescent="0.2">
      <c r="K177" s="6">
        <v>3</v>
      </c>
    </row>
    <row r="178" spans="11:11" x14ac:dyDescent="0.2">
      <c r="K178" s="6">
        <v>3</v>
      </c>
    </row>
    <row r="179" spans="11:11" x14ac:dyDescent="0.2">
      <c r="K179" s="6">
        <v>3</v>
      </c>
    </row>
    <row r="180" spans="11:11" x14ac:dyDescent="0.2">
      <c r="K180" s="6">
        <v>3</v>
      </c>
    </row>
    <row r="181" spans="11:11" x14ac:dyDescent="0.2">
      <c r="K181" s="6">
        <v>3</v>
      </c>
    </row>
    <row r="182" spans="11:11" x14ac:dyDescent="0.2">
      <c r="K182" s="6">
        <v>3</v>
      </c>
    </row>
    <row r="183" spans="11:11" x14ac:dyDescent="0.2">
      <c r="K183" s="6">
        <v>3</v>
      </c>
    </row>
    <row r="184" spans="11:11" x14ac:dyDescent="0.2">
      <c r="K184" s="6">
        <v>3</v>
      </c>
    </row>
    <row r="185" spans="11:11" x14ac:dyDescent="0.2">
      <c r="K185" s="6">
        <v>3</v>
      </c>
    </row>
    <row r="186" spans="11:11" x14ac:dyDescent="0.2">
      <c r="K186" s="6">
        <v>3</v>
      </c>
    </row>
    <row r="187" spans="11:11" x14ac:dyDescent="0.2">
      <c r="K187" s="6">
        <v>3</v>
      </c>
    </row>
    <row r="188" spans="11:11" x14ac:dyDescent="0.2">
      <c r="K188" s="6">
        <v>4</v>
      </c>
    </row>
    <row r="189" spans="11:11" x14ac:dyDescent="0.2">
      <c r="K189" s="6">
        <v>4</v>
      </c>
    </row>
    <row r="190" spans="11:11" x14ac:dyDescent="0.2">
      <c r="K190" s="6">
        <v>4</v>
      </c>
    </row>
    <row r="191" spans="11:11" x14ac:dyDescent="0.2">
      <c r="K191" s="6">
        <v>4</v>
      </c>
    </row>
    <row r="192" spans="11:11" x14ac:dyDescent="0.2">
      <c r="K192" s="6">
        <v>4</v>
      </c>
    </row>
    <row r="193" spans="11:11" x14ac:dyDescent="0.2">
      <c r="K193" s="6">
        <v>4</v>
      </c>
    </row>
    <row r="194" spans="11:11" x14ac:dyDescent="0.2">
      <c r="K194" s="6">
        <v>4</v>
      </c>
    </row>
    <row r="195" spans="11:11" x14ac:dyDescent="0.2">
      <c r="K195" s="6">
        <v>4</v>
      </c>
    </row>
    <row r="196" spans="11:11" x14ac:dyDescent="0.2">
      <c r="K196" s="6">
        <v>4</v>
      </c>
    </row>
    <row r="197" spans="11:11" x14ac:dyDescent="0.2">
      <c r="K197" s="6">
        <v>4</v>
      </c>
    </row>
    <row r="198" spans="11:11" x14ac:dyDescent="0.2">
      <c r="K198" s="6">
        <v>4</v>
      </c>
    </row>
    <row r="199" spans="11:11" x14ac:dyDescent="0.2">
      <c r="K199" s="6">
        <v>4</v>
      </c>
    </row>
    <row r="200" spans="11:11" x14ac:dyDescent="0.2">
      <c r="K200" s="6">
        <v>4</v>
      </c>
    </row>
    <row r="201" spans="11:11" x14ac:dyDescent="0.2">
      <c r="K201" s="6">
        <v>4</v>
      </c>
    </row>
    <row r="202" spans="11:11" x14ac:dyDescent="0.2">
      <c r="K202" s="6">
        <v>4</v>
      </c>
    </row>
    <row r="203" spans="11:11" x14ac:dyDescent="0.2">
      <c r="K203" s="6">
        <v>4</v>
      </c>
    </row>
    <row r="204" spans="11:11" x14ac:dyDescent="0.2">
      <c r="K204" s="6">
        <v>4</v>
      </c>
    </row>
    <row r="205" spans="11:11" x14ac:dyDescent="0.2">
      <c r="K205" s="6">
        <v>4</v>
      </c>
    </row>
    <row r="206" spans="11:11" x14ac:dyDescent="0.2">
      <c r="K206" s="6">
        <v>4</v>
      </c>
    </row>
    <row r="207" spans="11:11" x14ac:dyDescent="0.2">
      <c r="K207" s="6">
        <v>4</v>
      </c>
    </row>
    <row r="208" spans="11:11" x14ac:dyDescent="0.2">
      <c r="K208" s="6">
        <v>4</v>
      </c>
    </row>
    <row r="209" spans="11:11" x14ac:dyDescent="0.2">
      <c r="K209" s="6">
        <v>4</v>
      </c>
    </row>
    <row r="210" spans="11:11" x14ac:dyDescent="0.2">
      <c r="K210" s="6">
        <v>4</v>
      </c>
    </row>
    <row r="211" spans="11:11" x14ac:dyDescent="0.2">
      <c r="K211" s="6">
        <v>4</v>
      </c>
    </row>
    <row r="212" spans="11:11" x14ac:dyDescent="0.2">
      <c r="K212" s="6">
        <v>4</v>
      </c>
    </row>
    <row r="213" spans="11:11" x14ac:dyDescent="0.2">
      <c r="K213" s="6">
        <v>4</v>
      </c>
    </row>
    <row r="214" spans="11:11" x14ac:dyDescent="0.2">
      <c r="K214" s="6">
        <v>4</v>
      </c>
    </row>
    <row r="215" spans="11:11" x14ac:dyDescent="0.2">
      <c r="K215" s="6">
        <v>4</v>
      </c>
    </row>
    <row r="216" spans="11:11" x14ac:dyDescent="0.2">
      <c r="K216" s="6">
        <v>4</v>
      </c>
    </row>
    <row r="217" spans="11:11" x14ac:dyDescent="0.2">
      <c r="K217" s="6">
        <v>4</v>
      </c>
    </row>
    <row r="218" spans="11:11" x14ac:dyDescent="0.2">
      <c r="K218" s="6">
        <v>4</v>
      </c>
    </row>
    <row r="219" spans="11:11" x14ac:dyDescent="0.2">
      <c r="K219" s="6">
        <v>4</v>
      </c>
    </row>
    <row r="220" spans="11:11" x14ac:dyDescent="0.2">
      <c r="K220" s="6">
        <v>4</v>
      </c>
    </row>
    <row r="221" spans="11:11" x14ac:dyDescent="0.2">
      <c r="K221" s="6">
        <v>5</v>
      </c>
    </row>
    <row r="222" spans="11:11" x14ac:dyDescent="0.2">
      <c r="K222" s="6">
        <v>5</v>
      </c>
    </row>
    <row r="223" spans="11:11" x14ac:dyDescent="0.2">
      <c r="K223" s="6">
        <v>5</v>
      </c>
    </row>
    <row r="224" spans="11:11" x14ac:dyDescent="0.2">
      <c r="K224" s="6">
        <v>5</v>
      </c>
    </row>
    <row r="225" spans="11:11" x14ac:dyDescent="0.2">
      <c r="K225" s="6">
        <v>5</v>
      </c>
    </row>
    <row r="226" spans="11:11" x14ac:dyDescent="0.2">
      <c r="K226" s="6">
        <v>5</v>
      </c>
    </row>
    <row r="227" spans="11:11" x14ac:dyDescent="0.2">
      <c r="K227" s="6">
        <v>5</v>
      </c>
    </row>
    <row r="228" spans="11:11" x14ac:dyDescent="0.2">
      <c r="K228" s="6">
        <v>5</v>
      </c>
    </row>
    <row r="229" spans="11:11" x14ac:dyDescent="0.2">
      <c r="K229" s="6">
        <v>5</v>
      </c>
    </row>
    <row r="230" spans="11:11" x14ac:dyDescent="0.2">
      <c r="K230" s="6">
        <v>5</v>
      </c>
    </row>
    <row r="231" spans="11:11" x14ac:dyDescent="0.2">
      <c r="K231" s="6">
        <v>5</v>
      </c>
    </row>
    <row r="232" spans="11:11" x14ac:dyDescent="0.2">
      <c r="K232" s="6">
        <v>5</v>
      </c>
    </row>
    <row r="233" spans="11:11" x14ac:dyDescent="0.2">
      <c r="K233" s="6">
        <v>5</v>
      </c>
    </row>
    <row r="234" spans="11:11" x14ac:dyDescent="0.2">
      <c r="K234" s="6">
        <v>5</v>
      </c>
    </row>
    <row r="235" spans="11:11" x14ac:dyDescent="0.2">
      <c r="K235" s="6">
        <v>5</v>
      </c>
    </row>
    <row r="236" spans="11:11" x14ac:dyDescent="0.2">
      <c r="K236" s="6">
        <v>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5D9B3-4E28-4B99-B97C-8EA937CBA1D1}">
  <dimension ref="A1:K236"/>
  <sheetViews>
    <sheetView workbookViewId="0">
      <selection activeCell="B1" sqref="B1:B7"/>
    </sheetView>
  </sheetViews>
  <sheetFormatPr baseColWidth="10" defaultRowHeight="12.75" x14ac:dyDescent="0.2"/>
  <cols>
    <col min="1" max="1" width="37.42578125" bestFit="1" customWidth="1"/>
    <col min="2" max="2" width="28" bestFit="1" customWidth="1"/>
    <col min="3" max="3" width="21.5703125" bestFit="1" customWidth="1"/>
    <col min="4" max="4" width="38" bestFit="1" customWidth="1"/>
    <col min="7" max="7" width="18.85546875" bestFit="1" customWidth="1"/>
  </cols>
  <sheetData>
    <row r="1" spans="1:11" x14ac:dyDescent="0.2">
      <c r="A1" s="6" t="s">
        <v>431</v>
      </c>
      <c r="B1" s="6" t="s">
        <v>432</v>
      </c>
      <c r="C1" s="6" t="s">
        <v>438</v>
      </c>
      <c r="D1" s="6" t="s">
        <v>437</v>
      </c>
      <c r="G1" s="8" t="s">
        <v>434</v>
      </c>
    </row>
    <row r="2" spans="1:11" x14ac:dyDescent="0.2">
      <c r="A2" s="6">
        <v>1</v>
      </c>
      <c r="B2" s="6">
        <v>8</v>
      </c>
      <c r="C2" s="6">
        <f t="shared" ref="C2:C6" si="0" xml:space="preserve"> A2*B2</f>
        <v>8</v>
      </c>
      <c r="D2" s="13">
        <f t="shared" ref="D2:D7" si="1">B2/$B$7*100</f>
        <v>3.4042553191489362</v>
      </c>
      <c r="G2" s="8">
        <f>SUM(C2:C6)</f>
        <v>798</v>
      </c>
      <c r="K2" s="6">
        <v>1</v>
      </c>
    </row>
    <row r="3" spans="1:11" x14ac:dyDescent="0.2">
      <c r="A3" s="6">
        <v>2</v>
      </c>
      <c r="B3" s="6">
        <v>32</v>
      </c>
      <c r="C3" s="6">
        <f t="shared" si="0"/>
        <v>64</v>
      </c>
      <c r="D3" s="13">
        <f t="shared" si="1"/>
        <v>13.617021276595745</v>
      </c>
      <c r="F3" s="7" t="s">
        <v>435</v>
      </c>
      <c r="G3" s="7">
        <f>G2/235</f>
        <v>3.3957446808510636</v>
      </c>
      <c r="K3" s="6">
        <v>1</v>
      </c>
    </row>
    <row r="4" spans="1:11" x14ac:dyDescent="0.2">
      <c r="A4" s="6">
        <v>3</v>
      </c>
      <c r="B4" s="6">
        <v>91</v>
      </c>
      <c r="C4" s="6">
        <f t="shared" si="0"/>
        <v>273</v>
      </c>
      <c r="D4" s="13">
        <f t="shared" si="1"/>
        <v>38.723404255319153</v>
      </c>
      <c r="K4" s="6">
        <v>1</v>
      </c>
    </row>
    <row r="5" spans="1:11" x14ac:dyDescent="0.2">
      <c r="A5" s="6">
        <v>4</v>
      </c>
      <c r="B5" s="6">
        <v>67</v>
      </c>
      <c r="C5" s="6">
        <f t="shared" si="0"/>
        <v>268</v>
      </c>
      <c r="D5" s="13">
        <f t="shared" si="1"/>
        <v>28.510638297872344</v>
      </c>
      <c r="K5" s="6">
        <v>1</v>
      </c>
    </row>
    <row r="6" spans="1:11" x14ac:dyDescent="0.2">
      <c r="A6" s="6">
        <v>5</v>
      </c>
      <c r="B6" s="6">
        <v>37</v>
      </c>
      <c r="C6" s="6">
        <f t="shared" si="0"/>
        <v>185</v>
      </c>
      <c r="D6" s="13">
        <f t="shared" si="1"/>
        <v>15.74468085106383</v>
      </c>
      <c r="K6" s="6">
        <v>1</v>
      </c>
    </row>
    <row r="7" spans="1:11" x14ac:dyDescent="0.2">
      <c r="A7" t="s">
        <v>433</v>
      </c>
      <c r="B7" s="5">
        <f xml:space="preserve"> SUM(B2:B6)</f>
        <v>235</v>
      </c>
      <c r="C7" s="6"/>
      <c r="D7" s="6">
        <f t="shared" si="1"/>
        <v>100</v>
      </c>
      <c r="K7" s="6">
        <v>1</v>
      </c>
    </row>
    <row r="8" spans="1:11" x14ac:dyDescent="0.2">
      <c r="G8" s="21" t="s">
        <v>470</v>
      </c>
      <c r="I8" s="6"/>
      <c r="K8" s="6">
        <v>1</v>
      </c>
    </row>
    <row r="9" spans="1:11" x14ac:dyDescent="0.2">
      <c r="G9" s="6">
        <f>MODE(K2:K236)</f>
        <v>3</v>
      </c>
      <c r="I9" s="21" t="s">
        <v>472</v>
      </c>
      <c r="K9" s="6">
        <v>1</v>
      </c>
    </row>
    <row r="10" spans="1:11" x14ac:dyDescent="0.2">
      <c r="I10" s="6">
        <f>MAX(K2:K236)-MIN(K2:K236)</f>
        <v>4</v>
      </c>
      <c r="K10" s="6">
        <v>2</v>
      </c>
    </row>
    <row r="11" spans="1:11" x14ac:dyDescent="0.2">
      <c r="A11" s="21" t="s">
        <v>436</v>
      </c>
      <c r="B11" s="22" t="s">
        <v>468</v>
      </c>
      <c r="G11" s="21" t="s">
        <v>469</v>
      </c>
      <c r="K11" s="6">
        <v>2</v>
      </c>
    </row>
    <row r="12" spans="1:11" x14ac:dyDescent="0.2">
      <c r="A12" s="13" cm="1">
        <f t="array" ref="A12">SQRT(SUMPRODUCT(B2:B6,(A2:A6-$G$3)^2)/(SUM(B2:B6)-1))</f>
        <v>1.0173615630237693</v>
      </c>
      <c r="B12" s="13">
        <f>G2/B7</f>
        <v>3.3957446808510636</v>
      </c>
      <c r="G12" s="6">
        <f>MEDIAN(K2:K236)</f>
        <v>3</v>
      </c>
      <c r="K12" s="6">
        <v>2</v>
      </c>
    </row>
    <row r="13" spans="1:11" x14ac:dyDescent="0.2">
      <c r="A13" s="6"/>
      <c r="B13" s="22" t="s">
        <v>473</v>
      </c>
      <c r="G13" s="21" t="s">
        <v>471</v>
      </c>
      <c r="K13" s="6">
        <v>2</v>
      </c>
    </row>
    <row r="14" spans="1:11" x14ac:dyDescent="0.2">
      <c r="A14" s="6"/>
      <c r="B14" s="23">
        <f>(A12/B12)*100</f>
        <v>29.959895652955616</v>
      </c>
      <c r="G14" s="6">
        <f>_xlfn.VAR.S(K2:K236)</f>
        <v>1.0350245499181667</v>
      </c>
      <c r="K14" s="6">
        <v>2</v>
      </c>
    </row>
    <row r="15" spans="1:11" x14ac:dyDescent="0.2">
      <c r="A15" s="6"/>
      <c r="B15" s="6"/>
      <c r="K15" s="6">
        <v>2</v>
      </c>
    </row>
    <row r="16" spans="1:11" x14ac:dyDescent="0.2">
      <c r="K16" s="6">
        <v>2</v>
      </c>
    </row>
    <row r="17" spans="11:11" x14ac:dyDescent="0.2">
      <c r="K17" s="6">
        <v>2</v>
      </c>
    </row>
    <row r="18" spans="11:11" x14ac:dyDescent="0.2">
      <c r="K18" s="6">
        <v>2</v>
      </c>
    </row>
    <row r="19" spans="11:11" x14ac:dyDescent="0.2">
      <c r="K19" s="6">
        <v>2</v>
      </c>
    </row>
    <row r="20" spans="11:11" x14ac:dyDescent="0.2">
      <c r="K20" s="6">
        <v>2</v>
      </c>
    </row>
    <row r="21" spans="11:11" x14ac:dyDescent="0.2">
      <c r="K21" s="6">
        <v>2</v>
      </c>
    </row>
    <row r="22" spans="11:11" x14ac:dyDescent="0.2">
      <c r="K22" s="6">
        <v>2</v>
      </c>
    </row>
    <row r="23" spans="11:11" x14ac:dyDescent="0.2">
      <c r="K23" s="6">
        <v>2</v>
      </c>
    </row>
    <row r="24" spans="11:11" x14ac:dyDescent="0.2">
      <c r="K24" s="6">
        <v>2</v>
      </c>
    </row>
    <row r="25" spans="11:11" x14ac:dyDescent="0.2">
      <c r="K25" s="6">
        <v>2</v>
      </c>
    </row>
    <row r="26" spans="11:11" x14ac:dyDescent="0.2">
      <c r="K26" s="6">
        <v>2</v>
      </c>
    </row>
    <row r="27" spans="11:11" x14ac:dyDescent="0.2">
      <c r="K27" s="6">
        <v>2</v>
      </c>
    </row>
    <row r="28" spans="11:11" x14ac:dyDescent="0.2">
      <c r="K28" s="6">
        <v>2</v>
      </c>
    </row>
    <row r="29" spans="11:11" x14ac:dyDescent="0.2">
      <c r="K29" s="6">
        <v>2</v>
      </c>
    </row>
    <row r="30" spans="11:11" x14ac:dyDescent="0.2">
      <c r="K30" s="6">
        <v>2</v>
      </c>
    </row>
    <row r="31" spans="11:11" x14ac:dyDescent="0.2">
      <c r="K31" s="6">
        <v>2</v>
      </c>
    </row>
    <row r="32" spans="11:11" x14ac:dyDescent="0.2">
      <c r="K32" s="6">
        <v>2</v>
      </c>
    </row>
    <row r="33" spans="11:11" x14ac:dyDescent="0.2">
      <c r="K33" s="6">
        <v>2</v>
      </c>
    </row>
    <row r="34" spans="11:11" x14ac:dyDescent="0.2">
      <c r="K34" s="6">
        <v>2</v>
      </c>
    </row>
    <row r="35" spans="11:11" x14ac:dyDescent="0.2">
      <c r="K35" s="6">
        <v>2</v>
      </c>
    </row>
    <row r="36" spans="11:11" x14ac:dyDescent="0.2">
      <c r="K36" s="6">
        <v>2</v>
      </c>
    </row>
    <row r="37" spans="11:11" x14ac:dyDescent="0.2">
      <c r="K37" s="6">
        <v>2</v>
      </c>
    </row>
    <row r="38" spans="11:11" x14ac:dyDescent="0.2">
      <c r="K38" s="6">
        <v>2</v>
      </c>
    </row>
    <row r="39" spans="11:11" x14ac:dyDescent="0.2">
      <c r="K39" s="6">
        <v>2</v>
      </c>
    </row>
    <row r="40" spans="11:11" x14ac:dyDescent="0.2">
      <c r="K40" s="6">
        <v>2</v>
      </c>
    </row>
    <row r="41" spans="11:11" x14ac:dyDescent="0.2">
      <c r="K41" s="6">
        <v>2</v>
      </c>
    </row>
    <row r="42" spans="11:11" x14ac:dyDescent="0.2">
      <c r="K42" s="6">
        <v>3</v>
      </c>
    </row>
    <row r="43" spans="11:11" x14ac:dyDescent="0.2">
      <c r="K43" s="6">
        <v>3</v>
      </c>
    </row>
    <row r="44" spans="11:11" x14ac:dyDescent="0.2">
      <c r="K44" s="6">
        <v>3</v>
      </c>
    </row>
    <row r="45" spans="11:11" x14ac:dyDescent="0.2">
      <c r="K45" s="6">
        <v>3</v>
      </c>
    </row>
    <row r="46" spans="11:11" x14ac:dyDescent="0.2">
      <c r="K46" s="6">
        <v>3</v>
      </c>
    </row>
    <row r="47" spans="11:11" x14ac:dyDescent="0.2">
      <c r="K47" s="6">
        <v>3</v>
      </c>
    </row>
    <row r="48" spans="11:11" x14ac:dyDescent="0.2">
      <c r="K48" s="6">
        <v>3</v>
      </c>
    </row>
    <row r="49" spans="11:11" x14ac:dyDescent="0.2">
      <c r="K49" s="6">
        <v>3</v>
      </c>
    </row>
    <row r="50" spans="11:11" x14ac:dyDescent="0.2">
      <c r="K50" s="6">
        <v>3</v>
      </c>
    </row>
    <row r="51" spans="11:11" x14ac:dyDescent="0.2">
      <c r="K51" s="6">
        <v>3</v>
      </c>
    </row>
    <row r="52" spans="11:11" x14ac:dyDescent="0.2">
      <c r="K52" s="6">
        <v>3</v>
      </c>
    </row>
    <row r="53" spans="11:11" x14ac:dyDescent="0.2">
      <c r="K53" s="6">
        <v>3</v>
      </c>
    </row>
    <row r="54" spans="11:11" x14ac:dyDescent="0.2">
      <c r="K54" s="6">
        <v>3</v>
      </c>
    </row>
    <row r="55" spans="11:11" x14ac:dyDescent="0.2">
      <c r="K55" s="6">
        <v>3</v>
      </c>
    </row>
    <row r="56" spans="11:11" x14ac:dyDescent="0.2">
      <c r="K56" s="6">
        <v>3</v>
      </c>
    </row>
    <row r="57" spans="11:11" x14ac:dyDescent="0.2">
      <c r="K57" s="6">
        <v>3</v>
      </c>
    </row>
    <row r="58" spans="11:11" x14ac:dyDescent="0.2">
      <c r="K58" s="6">
        <v>3</v>
      </c>
    </row>
    <row r="59" spans="11:11" x14ac:dyDescent="0.2">
      <c r="K59" s="6">
        <v>3</v>
      </c>
    </row>
    <row r="60" spans="11:11" x14ac:dyDescent="0.2">
      <c r="K60" s="6">
        <v>3</v>
      </c>
    </row>
    <row r="61" spans="11:11" x14ac:dyDescent="0.2">
      <c r="K61" s="6">
        <v>3</v>
      </c>
    </row>
    <row r="62" spans="11:11" x14ac:dyDescent="0.2">
      <c r="K62" s="6">
        <v>3</v>
      </c>
    </row>
    <row r="63" spans="11:11" x14ac:dyDescent="0.2">
      <c r="K63" s="6">
        <v>3</v>
      </c>
    </row>
    <row r="64" spans="11:11" x14ac:dyDescent="0.2">
      <c r="K64" s="6">
        <v>3</v>
      </c>
    </row>
    <row r="65" spans="11:11" x14ac:dyDescent="0.2">
      <c r="K65" s="6">
        <v>3</v>
      </c>
    </row>
    <row r="66" spans="11:11" x14ac:dyDescent="0.2">
      <c r="K66" s="6">
        <v>3</v>
      </c>
    </row>
    <row r="67" spans="11:11" x14ac:dyDescent="0.2">
      <c r="K67" s="6">
        <v>3</v>
      </c>
    </row>
    <row r="68" spans="11:11" x14ac:dyDescent="0.2">
      <c r="K68" s="6">
        <v>3</v>
      </c>
    </row>
    <row r="69" spans="11:11" x14ac:dyDescent="0.2">
      <c r="K69" s="6">
        <v>3</v>
      </c>
    </row>
    <row r="70" spans="11:11" x14ac:dyDescent="0.2">
      <c r="K70" s="6">
        <v>3</v>
      </c>
    </row>
    <row r="71" spans="11:11" x14ac:dyDescent="0.2">
      <c r="K71" s="6">
        <v>3</v>
      </c>
    </row>
    <row r="72" spans="11:11" x14ac:dyDescent="0.2">
      <c r="K72" s="6">
        <v>3</v>
      </c>
    </row>
    <row r="73" spans="11:11" x14ac:dyDescent="0.2">
      <c r="K73" s="6">
        <v>3</v>
      </c>
    </row>
    <row r="74" spans="11:11" x14ac:dyDescent="0.2">
      <c r="K74" s="6">
        <v>3</v>
      </c>
    </row>
    <row r="75" spans="11:11" x14ac:dyDescent="0.2">
      <c r="K75" s="6">
        <v>3</v>
      </c>
    </row>
    <row r="76" spans="11:11" x14ac:dyDescent="0.2">
      <c r="K76" s="6">
        <v>3</v>
      </c>
    </row>
    <row r="77" spans="11:11" x14ac:dyDescent="0.2">
      <c r="K77" s="6">
        <v>3</v>
      </c>
    </row>
    <row r="78" spans="11:11" x14ac:dyDescent="0.2">
      <c r="K78" s="6">
        <v>3</v>
      </c>
    </row>
    <row r="79" spans="11:11" x14ac:dyDescent="0.2">
      <c r="K79" s="6">
        <v>3</v>
      </c>
    </row>
    <row r="80" spans="11:11" x14ac:dyDescent="0.2">
      <c r="K80" s="6">
        <v>3</v>
      </c>
    </row>
    <row r="81" spans="11:11" x14ac:dyDescent="0.2">
      <c r="K81" s="6">
        <v>3</v>
      </c>
    </row>
    <row r="82" spans="11:11" x14ac:dyDescent="0.2">
      <c r="K82" s="6">
        <v>3</v>
      </c>
    </row>
    <row r="83" spans="11:11" x14ac:dyDescent="0.2">
      <c r="K83" s="6">
        <v>3</v>
      </c>
    </row>
    <row r="84" spans="11:11" x14ac:dyDescent="0.2">
      <c r="K84" s="6">
        <v>3</v>
      </c>
    </row>
    <row r="85" spans="11:11" x14ac:dyDescent="0.2">
      <c r="K85" s="6">
        <v>3</v>
      </c>
    </row>
    <row r="86" spans="11:11" x14ac:dyDescent="0.2">
      <c r="K86" s="6">
        <v>3</v>
      </c>
    </row>
    <row r="87" spans="11:11" x14ac:dyDescent="0.2">
      <c r="K87" s="6">
        <v>3</v>
      </c>
    </row>
    <row r="88" spans="11:11" x14ac:dyDescent="0.2">
      <c r="K88" s="6">
        <v>3</v>
      </c>
    </row>
    <row r="89" spans="11:11" x14ac:dyDescent="0.2">
      <c r="K89" s="6">
        <v>3</v>
      </c>
    </row>
    <row r="90" spans="11:11" x14ac:dyDescent="0.2">
      <c r="K90" s="6">
        <v>3</v>
      </c>
    </row>
    <row r="91" spans="11:11" x14ac:dyDescent="0.2">
      <c r="K91" s="6">
        <v>3</v>
      </c>
    </row>
    <row r="92" spans="11:11" x14ac:dyDescent="0.2">
      <c r="K92" s="6">
        <v>3</v>
      </c>
    </row>
    <row r="93" spans="11:11" x14ac:dyDescent="0.2">
      <c r="K93" s="6">
        <v>3</v>
      </c>
    </row>
    <row r="94" spans="11:11" x14ac:dyDescent="0.2">
      <c r="K94" s="6">
        <v>3</v>
      </c>
    </row>
    <row r="95" spans="11:11" x14ac:dyDescent="0.2">
      <c r="K95" s="6">
        <v>3</v>
      </c>
    </row>
    <row r="96" spans="11:11" x14ac:dyDescent="0.2">
      <c r="K96" s="6">
        <v>3</v>
      </c>
    </row>
    <row r="97" spans="11:11" x14ac:dyDescent="0.2">
      <c r="K97" s="6">
        <v>3</v>
      </c>
    </row>
    <row r="98" spans="11:11" x14ac:dyDescent="0.2">
      <c r="K98" s="6">
        <v>3</v>
      </c>
    </row>
    <row r="99" spans="11:11" x14ac:dyDescent="0.2">
      <c r="K99" s="6">
        <v>3</v>
      </c>
    </row>
    <row r="100" spans="11:11" x14ac:dyDescent="0.2">
      <c r="K100" s="6">
        <v>3</v>
      </c>
    </row>
    <row r="101" spans="11:11" x14ac:dyDescent="0.2">
      <c r="K101" s="6">
        <v>3</v>
      </c>
    </row>
    <row r="102" spans="11:11" x14ac:dyDescent="0.2">
      <c r="K102" s="6">
        <v>3</v>
      </c>
    </row>
    <row r="103" spans="11:11" x14ac:dyDescent="0.2">
      <c r="K103" s="6">
        <v>3</v>
      </c>
    </row>
    <row r="104" spans="11:11" x14ac:dyDescent="0.2">
      <c r="K104" s="6">
        <v>3</v>
      </c>
    </row>
    <row r="105" spans="11:11" x14ac:dyDescent="0.2">
      <c r="K105" s="6">
        <v>3</v>
      </c>
    </row>
    <row r="106" spans="11:11" x14ac:dyDescent="0.2">
      <c r="K106" s="6">
        <v>3</v>
      </c>
    </row>
    <row r="107" spans="11:11" x14ac:dyDescent="0.2">
      <c r="K107" s="6">
        <v>3</v>
      </c>
    </row>
    <row r="108" spans="11:11" x14ac:dyDescent="0.2">
      <c r="K108" s="6">
        <v>3</v>
      </c>
    </row>
    <row r="109" spans="11:11" x14ac:dyDescent="0.2">
      <c r="K109" s="6">
        <v>3</v>
      </c>
    </row>
    <row r="110" spans="11:11" x14ac:dyDescent="0.2">
      <c r="K110" s="6">
        <v>3</v>
      </c>
    </row>
    <row r="111" spans="11:11" x14ac:dyDescent="0.2">
      <c r="K111" s="6">
        <v>3</v>
      </c>
    </row>
    <row r="112" spans="11:11" x14ac:dyDescent="0.2">
      <c r="K112" s="6">
        <v>3</v>
      </c>
    </row>
    <row r="113" spans="11:11" x14ac:dyDescent="0.2">
      <c r="K113" s="6">
        <v>3</v>
      </c>
    </row>
    <row r="114" spans="11:11" x14ac:dyDescent="0.2">
      <c r="K114" s="6">
        <v>3</v>
      </c>
    </row>
    <row r="115" spans="11:11" x14ac:dyDescent="0.2">
      <c r="K115" s="6">
        <v>3</v>
      </c>
    </row>
    <row r="116" spans="11:11" x14ac:dyDescent="0.2">
      <c r="K116" s="6">
        <v>3</v>
      </c>
    </row>
    <row r="117" spans="11:11" x14ac:dyDescent="0.2">
      <c r="K117" s="6">
        <v>3</v>
      </c>
    </row>
    <row r="118" spans="11:11" x14ac:dyDescent="0.2">
      <c r="K118" s="6">
        <v>3</v>
      </c>
    </row>
    <row r="119" spans="11:11" x14ac:dyDescent="0.2">
      <c r="K119" s="6">
        <v>3</v>
      </c>
    </row>
    <row r="120" spans="11:11" x14ac:dyDescent="0.2">
      <c r="K120" s="6">
        <v>3</v>
      </c>
    </row>
    <row r="121" spans="11:11" x14ac:dyDescent="0.2">
      <c r="K121" s="6">
        <v>3</v>
      </c>
    </row>
    <row r="122" spans="11:11" x14ac:dyDescent="0.2">
      <c r="K122" s="6">
        <v>3</v>
      </c>
    </row>
    <row r="123" spans="11:11" x14ac:dyDescent="0.2">
      <c r="K123" s="6">
        <v>3</v>
      </c>
    </row>
    <row r="124" spans="11:11" x14ac:dyDescent="0.2">
      <c r="K124" s="6">
        <v>3</v>
      </c>
    </row>
    <row r="125" spans="11:11" x14ac:dyDescent="0.2">
      <c r="K125" s="6">
        <v>3</v>
      </c>
    </row>
    <row r="126" spans="11:11" x14ac:dyDescent="0.2">
      <c r="K126" s="6">
        <v>3</v>
      </c>
    </row>
    <row r="127" spans="11:11" x14ac:dyDescent="0.2">
      <c r="K127" s="6">
        <v>3</v>
      </c>
    </row>
    <row r="128" spans="11:11" x14ac:dyDescent="0.2">
      <c r="K128" s="6">
        <v>3</v>
      </c>
    </row>
    <row r="129" spans="11:11" x14ac:dyDescent="0.2">
      <c r="K129" s="6">
        <v>3</v>
      </c>
    </row>
    <row r="130" spans="11:11" x14ac:dyDescent="0.2">
      <c r="K130" s="6">
        <v>3</v>
      </c>
    </row>
    <row r="131" spans="11:11" x14ac:dyDescent="0.2">
      <c r="K131" s="6">
        <v>3</v>
      </c>
    </row>
    <row r="132" spans="11:11" x14ac:dyDescent="0.2">
      <c r="K132" s="6">
        <v>3</v>
      </c>
    </row>
    <row r="133" spans="11:11" x14ac:dyDescent="0.2">
      <c r="K133" s="6">
        <v>4</v>
      </c>
    </row>
    <row r="134" spans="11:11" x14ac:dyDescent="0.2">
      <c r="K134" s="6">
        <v>4</v>
      </c>
    </row>
    <row r="135" spans="11:11" x14ac:dyDescent="0.2">
      <c r="K135" s="6">
        <v>4</v>
      </c>
    </row>
    <row r="136" spans="11:11" x14ac:dyDescent="0.2">
      <c r="K136" s="6">
        <v>4</v>
      </c>
    </row>
    <row r="137" spans="11:11" x14ac:dyDescent="0.2">
      <c r="K137" s="6">
        <v>4</v>
      </c>
    </row>
    <row r="138" spans="11:11" x14ac:dyDescent="0.2">
      <c r="K138" s="6">
        <v>4</v>
      </c>
    </row>
    <row r="139" spans="11:11" x14ac:dyDescent="0.2">
      <c r="K139" s="6">
        <v>4</v>
      </c>
    </row>
    <row r="140" spans="11:11" x14ac:dyDescent="0.2">
      <c r="K140" s="6">
        <v>4</v>
      </c>
    </row>
    <row r="141" spans="11:11" x14ac:dyDescent="0.2">
      <c r="K141" s="6">
        <v>4</v>
      </c>
    </row>
    <row r="142" spans="11:11" x14ac:dyDescent="0.2">
      <c r="K142" s="6">
        <v>4</v>
      </c>
    </row>
    <row r="143" spans="11:11" x14ac:dyDescent="0.2">
      <c r="K143" s="6">
        <v>4</v>
      </c>
    </row>
    <row r="144" spans="11:11" x14ac:dyDescent="0.2">
      <c r="K144" s="6">
        <v>4</v>
      </c>
    </row>
    <row r="145" spans="11:11" x14ac:dyDescent="0.2">
      <c r="K145" s="6">
        <v>4</v>
      </c>
    </row>
    <row r="146" spans="11:11" x14ac:dyDescent="0.2">
      <c r="K146" s="6">
        <v>4</v>
      </c>
    </row>
    <row r="147" spans="11:11" x14ac:dyDescent="0.2">
      <c r="K147" s="6">
        <v>4</v>
      </c>
    </row>
    <row r="148" spans="11:11" x14ac:dyDescent="0.2">
      <c r="K148" s="6">
        <v>4</v>
      </c>
    </row>
    <row r="149" spans="11:11" x14ac:dyDescent="0.2">
      <c r="K149" s="6">
        <v>4</v>
      </c>
    </row>
    <row r="150" spans="11:11" x14ac:dyDescent="0.2">
      <c r="K150" s="6">
        <v>4</v>
      </c>
    </row>
    <row r="151" spans="11:11" x14ac:dyDescent="0.2">
      <c r="K151" s="6">
        <v>4</v>
      </c>
    </row>
    <row r="152" spans="11:11" x14ac:dyDescent="0.2">
      <c r="K152" s="6">
        <v>4</v>
      </c>
    </row>
    <row r="153" spans="11:11" x14ac:dyDescent="0.2">
      <c r="K153" s="6">
        <v>4</v>
      </c>
    </row>
    <row r="154" spans="11:11" x14ac:dyDescent="0.2">
      <c r="K154" s="6">
        <v>4</v>
      </c>
    </row>
    <row r="155" spans="11:11" x14ac:dyDescent="0.2">
      <c r="K155" s="6">
        <v>4</v>
      </c>
    </row>
    <row r="156" spans="11:11" x14ac:dyDescent="0.2">
      <c r="K156" s="6">
        <v>4</v>
      </c>
    </row>
    <row r="157" spans="11:11" x14ac:dyDescent="0.2">
      <c r="K157" s="6">
        <v>4</v>
      </c>
    </row>
    <row r="158" spans="11:11" x14ac:dyDescent="0.2">
      <c r="K158" s="6">
        <v>4</v>
      </c>
    </row>
    <row r="159" spans="11:11" x14ac:dyDescent="0.2">
      <c r="K159" s="6">
        <v>4</v>
      </c>
    </row>
    <row r="160" spans="11:11" x14ac:dyDescent="0.2">
      <c r="K160" s="6">
        <v>4</v>
      </c>
    </row>
    <row r="161" spans="11:11" x14ac:dyDescent="0.2">
      <c r="K161" s="6">
        <v>4</v>
      </c>
    </row>
    <row r="162" spans="11:11" x14ac:dyDescent="0.2">
      <c r="K162" s="6">
        <v>4</v>
      </c>
    </row>
    <row r="163" spans="11:11" x14ac:dyDescent="0.2">
      <c r="K163" s="6">
        <v>4</v>
      </c>
    </row>
    <row r="164" spans="11:11" x14ac:dyDescent="0.2">
      <c r="K164" s="6">
        <v>4</v>
      </c>
    </row>
    <row r="165" spans="11:11" x14ac:dyDescent="0.2">
      <c r="K165" s="6">
        <v>4</v>
      </c>
    </row>
    <row r="166" spans="11:11" x14ac:dyDescent="0.2">
      <c r="K166" s="6">
        <v>4</v>
      </c>
    </row>
    <row r="167" spans="11:11" x14ac:dyDescent="0.2">
      <c r="K167" s="6">
        <v>4</v>
      </c>
    </row>
    <row r="168" spans="11:11" x14ac:dyDescent="0.2">
      <c r="K168" s="6">
        <v>4</v>
      </c>
    </row>
    <row r="169" spans="11:11" x14ac:dyDescent="0.2">
      <c r="K169" s="6">
        <v>4</v>
      </c>
    </row>
    <row r="170" spans="11:11" x14ac:dyDescent="0.2">
      <c r="K170" s="6">
        <v>4</v>
      </c>
    </row>
    <row r="171" spans="11:11" x14ac:dyDescent="0.2">
      <c r="K171" s="6">
        <v>4</v>
      </c>
    </row>
    <row r="172" spans="11:11" x14ac:dyDescent="0.2">
      <c r="K172" s="6">
        <v>4</v>
      </c>
    </row>
    <row r="173" spans="11:11" x14ac:dyDescent="0.2">
      <c r="K173" s="6">
        <v>4</v>
      </c>
    </row>
    <row r="174" spans="11:11" x14ac:dyDescent="0.2">
      <c r="K174" s="6">
        <v>4</v>
      </c>
    </row>
    <row r="175" spans="11:11" x14ac:dyDescent="0.2">
      <c r="K175" s="6">
        <v>4</v>
      </c>
    </row>
    <row r="176" spans="11:11" x14ac:dyDescent="0.2">
      <c r="K176" s="6">
        <v>4</v>
      </c>
    </row>
    <row r="177" spans="11:11" x14ac:dyDescent="0.2">
      <c r="K177" s="6">
        <v>4</v>
      </c>
    </row>
    <row r="178" spans="11:11" x14ac:dyDescent="0.2">
      <c r="K178" s="6">
        <v>4</v>
      </c>
    </row>
    <row r="179" spans="11:11" x14ac:dyDescent="0.2">
      <c r="K179" s="6">
        <v>4</v>
      </c>
    </row>
    <row r="180" spans="11:11" x14ac:dyDescent="0.2">
      <c r="K180" s="6">
        <v>4</v>
      </c>
    </row>
    <row r="181" spans="11:11" x14ac:dyDescent="0.2">
      <c r="K181" s="6">
        <v>4</v>
      </c>
    </row>
    <row r="182" spans="11:11" x14ac:dyDescent="0.2">
      <c r="K182" s="6">
        <v>4</v>
      </c>
    </row>
    <row r="183" spans="11:11" x14ac:dyDescent="0.2">
      <c r="K183" s="6">
        <v>4</v>
      </c>
    </row>
    <row r="184" spans="11:11" x14ac:dyDescent="0.2">
      <c r="K184" s="6">
        <v>4</v>
      </c>
    </row>
    <row r="185" spans="11:11" x14ac:dyDescent="0.2">
      <c r="K185" s="6">
        <v>4</v>
      </c>
    </row>
    <row r="186" spans="11:11" x14ac:dyDescent="0.2">
      <c r="K186" s="6">
        <v>4</v>
      </c>
    </row>
    <row r="187" spans="11:11" x14ac:dyDescent="0.2">
      <c r="K187" s="6">
        <v>4</v>
      </c>
    </row>
    <row r="188" spans="11:11" x14ac:dyDescent="0.2">
      <c r="K188" s="6">
        <v>4</v>
      </c>
    </row>
    <row r="189" spans="11:11" x14ac:dyDescent="0.2">
      <c r="K189" s="6">
        <v>4</v>
      </c>
    </row>
    <row r="190" spans="11:11" x14ac:dyDescent="0.2">
      <c r="K190" s="6">
        <v>4</v>
      </c>
    </row>
    <row r="191" spans="11:11" x14ac:dyDescent="0.2">
      <c r="K191" s="6">
        <v>4</v>
      </c>
    </row>
    <row r="192" spans="11:11" x14ac:dyDescent="0.2">
      <c r="K192" s="6">
        <v>4</v>
      </c>
    </row>
    <row r="193" spans="11:11" x14ac:dyDescent="0.2">
      <c r="K193" s="6">
        <v>4</v>
      </c>
    </row>
    <row r="194" spans="11:11" x14ac:dyDescent="0.2">
      <c r="K194" s="6">
        <v>4</v>
      </c>
    </row>
    <row r="195" spans="11:11" x14ac:dyDescent="0.2">
      <c r="K195" s="6">
        <v>4</v>
      </c>
    </row>
    <row r="196" spans="11:11" x14ac:dyDescent="0.2">
      <c r="K196" s="6">
        <v>4</v>
      </c>
    </row>
    <row r="197" spans="11:11" x14ac:dyDescent="0.2">
      <c r="K197" s="6">
        <v>4</v>
      </c>
    </row>
    <row r="198" spans="11:11" x14ac:dyDescent="0.2">
      <c r="K198" s="6">
        <v>4</v>
      </c>
    </row>
    <row r="199" spans="11:11" x14ac:dyDescent="0.2">
      <c r="K199" s="6">
        <v>4</v>
      </c>
    </row>
    <row r="200" spans="11:11" x14ac:dyDescent="0.2">
      <c r="K200" s="6">
        <v>5</v>
      </c>
    </row>
    <row r="201" spans="11:11" x14ac:dyDescent="0.2">
      <c r="K201" s="6">
        <v>5</v>
      </c>
    </row>
    <row r="202" spans="11:11" x14ac:dyDescent="0.2">
      <c r="K202" s="6">
        <v>5</v>
      </c>
    </row>
    <row r="203" spans="11:11" x14ac:dyDescent="0.2">
      <c r="K203" s="6">
        <v>5</v>
      </c>
    </row>
    <row r="204" spans="11:11" x14ac:dyDescent="0.2">
      <c r="K204" s="6">
        <v>5</v>
      </c>
    </row>
    <row r="205" spans="11:11" x14ac:dyDescent="0.2">
      <c r="K205" s="6">
        <v>5</v>
      </c>
    </row>
    <row r="206" spans="11:11" x14ac:dyDescent="0.2">
      <c r="K206" s="6">
        <v>5</v>
      </c>
    </row>
    <row r="207" spans="11:11" x14ac:dyDescent="0.2">
      <c r="K207" s="6">
        <v>5</v>
      </c>
    </row>
    <row r="208" spans="11:11" x14ac:dyDescent="0.2">
      <c r="K208" s="6">
        <v>5</v>
      </c>
    </row>
    <row r="209" spans="11:11" x14ac:dyDescent="0.2">
      <c r="K209" s="6">
        <v>5</v>
      </c>
    </row>
    <row r="210" spans="11:11" x14ac:dyDescent="0.2">
      <c r="K210" s="6">
        <v>5</v>
      </c>
    </row>
    <row r="211" spans="11:11" x14ac:dyDescent="0.2">
      <c r="K211" s="6">
        <v>5</v>
      </c>
    </row>
    <row r="212" spans="11:11" x14ac:dyDescent="0.2">
      <c r="K212" s="6">
        <v>5</v>
      </c>
    </row>
    <row r="213" spans="11:11" x14ac:dyDescent="0.2">
      <c r="K213" s="6">
        <v>5</v>
      </c>
    </row>
    <row r="214" spans="11:11" x14ac:dyDescent="0.2">
      <c r="K214" s="6">
        <v>5</v>
      </c>
    </row>
    <row r="215" spans="11:11" x14ac:dyDescent="0.2">
      <c r="K215" s="6">
        <v>5</v>
      </c>
    </row>
    <row r="216" spans="11:11" x14ac:dyDescent="0.2">
      <c r="K216" s="6">
        <v>5</v>
      </c>
    </row>
    <row r="217" spans="11:11" x14ac:dyDescent="0.2">
      <c r="K217" s="6">
        <v>5</v>
      </c>
    </row>
    <row r="218" spans="11:11" x14ac:dyDescent="0.2">
      <c r="K218" s="6">
        <v>5</v>
      </c>
    </row>
    <row r="219" spans="11:11" x14ac:dyDescent="0.2">
      <c r="K219" s="6">
        <v>5</v>
      </c>
    </row>
    <row r="220" spans="11:11" x14ac:dyDescent="0.2">
      <c r="K220" s="6">
        <v>5</v>
      </c>
    </row>
    <row r="221" spans="11:11" x14ac:dyDescent="0.2">
      <c r="K221" s="6">
        <v>5</v>
      </c>
    </row>
    <row r="222" spans="11:11" x14ac:dyDescent="0.2">
      <c r="K222" s="6">
        <v>5</v>
      </c>
    </row>
    <row r="223" spans="11:11" x14ac:dyDescent="0.2">
      <c r="K223" s="6">
        <v>5</v>
      </c>
    </row>
    <row r="224" spans="11:11" x14ac:dyDescent="0.2">
      <c r="K224" s="6">
        <v>5</v>
      </c>
    </row>
    <row r="225" spans="11:11" x14ac:dyDescent="0.2">
      <c r="K225" s="6">
        <v>5</v>
      </c>
    </row>
    <row r="226" spans="11:11" x14ac:dyDescent="0.2">
      <c r="K226" s="6">
        <v>5</v>
      </c>
    </row>
    <row r="227" spans="11:11" x14ac:dyDescent="0.2">
      <c r="K227" s="6">
        <v>5</v>
      </c>
    </row>
    <row r="228" spans="11:11" x14ac:dyDescent="0.2">
      <c r="K228" s="6">
        <v>5</v>
      </c>
    </row>
    <row r="229" spans="11:11" x14ac:dyDescent="0.2">
      <c r="K229" s="6">
        <v>5</v>
      </c>
    </row>
    <row r="230" spans="11:11" x14ac:dyDescent="0.2">
      <c r="K230" s="6">
        <v>5</v>
      </c>
    </row>
    <row r="231" spans="11:11" x14ac:dyDescent="0.2">
      <c r="K231" s="6">
        <v>5</v>
      </c>
    </row>
    <row r="232" spans="11:11" x14ac:dyDescent="0.2">
      <c r="K232" s="6">
        <v>5</v>
      </c>
    </row>
    <row r="233" spans="11:11" x14ac:dyDescent="0.2">
      <c r="K233" s="6">
        <v>5</v>
      </c>
    </row>
    <row r="234" spans="11:11" x14ac:dyDescent="0.2">
      <c r="K234" s="6">
        <v>5</v>
      </c>
    </row>
    <row r="235" spans="11:11" x14ac:dyDescent="0.2">
      <c r="K235" s="6">
        <v>5</v>
      </c>
    </row>
    <row r="236" spans="11:11" x14ac:dyDescent="0.2">
      <c r="K236" s="6">
        <v>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D3C45-E357-4A1D-BB7C-7CF5F4CE12EE}">
  <dimension ref="A1:K236"/>
  <sheetViews>
    <sheetView workbookViewId="0">
      <selection activeCell="B1" sqref="B1:B7"/>
    </sheetView>
  </sheetViews>
  <sheetFormatPr baseColWidth="10" defaultRowHeight="12.75" x14ac:dyDescent="0.2"/>
  <cols>
    <col min="1" max="1" width="37.42578125" bestFit="1" customWidth="1"/>
    <col min="2" max="2" width="28" bestFit="1" customWidth="1"/>
    <col min="3" max="3" width="21.5703125" bestFit="1" customWidth="1"/>
    <col min="4" max="4" width="38" bestFit="1" customWidth="1"/>
    <col min="5" max="5" width="23.28515625" bestFit="1" customWidth="1"/>
    <col min="7" max="7" width="18.85546875" bestFit="1" customWidth="1"/>
  </cols>
  <sheetData>
    <row r="1" spans="1:11" x14ac:dyDescent="0.2">
      <c r="A1" s="6" t="s">
        <v>431</v>
      </c>
      <c r="B1" s="6" t="s">
        <v>432</v>
      </c>
      <c r="C1" s="6" t="s">
        <v>438</v>
      </c>
      <c r="D1" s="6" t="s">
        <v>437</v>
      </c>
      <c r="E1" s="6" t="s">
        <v>444</v>
      </c>
      <c r="G1" s="8" t="s">
        <v>434</v>
      </c>
      <c r="K1" t="s">
        <v>475</v>
      </c>
    </row>
    <row r="2" spans="1:11" x14ac:dyDescent="0.2">
      <c r="A2" s="6">
        <v>1</v>
      </c>
      <c r="B2" s="6">
        <v>11</v>
      </c>
      <c r="C2" s="6">
        <f t="shared" ref="C2:C6" si="0" xml:space="preserve"> A2*B2</f>
        <v>11</v>
      </c>
      <c r="D2" s="13">
        <f t="shared" ref="D2:D7" si="1">B2/$B$7*100</f>
        <v>4.6808510638297873</v>
      </c>
      <c r="E2" s="6" t="s">
        <v>439</v>
      </c>
      <c r="G2" s="8">
        <f>SUM(C2:C6)</f>
        <v>775</v>
      </c>
      <c r="K2" s="6">
        <v>1</v>
      </c>
    </row>
    <row r="3" spans="1:11" x14ac:dyDescent="0.2">
      <c r="A3" s="6">
        <v>2</v>
      </c>
      <c r="B3" s="6">
        <v>41</v>
      </c>
      <c r="C3" s="6">
        <f t="shared" si="0"/>
        <v>82</v>
      </c>
      <c r="D3" s="13">
        <f t="shared" si="1"/>
        <v>17.446808510638299</v>
      </c>
      <c r="E3" s="6" t="s">
        <v>440</v>
      </c>
      <c r="F3" s="7" t="s">
        <v>435</v>
      </c>
      <c r="G3" s="7">
        <f>G2/235</f>
        <v>3.2978723404255321</v>
      </c>
      <c r="K3" s="6">
        <v>1</v>
      </c>
    </row>
    <row r="4" spans="1:11" x14ac:dyDescent="0.2">
      <c r="A4" s="6">
        <v>3</v>
      </c>
      <c r="B4" s="6">
        <v>87</v>
      </c>
      <c r="C4" s="6">
        <f t="shared" si="0"/>
        <v>261</v>
      </c>
      <c r="D4" s="13">
        <f t="shared" si="1"/>
        <v>37.021276595744681</v>
      </c>
      <c r="E4" s="6" t="s">
        <v>441</v>
      </c>
      <c r="K4" s="6">
        <v>1</v>
      </c>
    </row>
    <row r="5" spans="1:11" x14ac:dyDescent="0.2">
      <c r="A5" s="6">
        <v>4</v>
      </c>
      <c r="B5" s="6">
        <v>59</v>
      </c>
      <c r="C5" s="6">
        <f t="shared" si="0"/>
        <v>236</v>
      </c>
      <c r="D5" s="13">
        <f t="shared" si="1"/>
        <v>25.106382978723403</v>
      </c>
      <c r="E5" s="6" t="s">
        <v>442</v>
      </c>
      <c r="K5" s="6">
        <v>1</v>
      </c>
    </row>
    <row r="6" spans="1:11" x14ac:dyDescent="0.2">
      <c r="A6" s="6">
        <v>5</v>
      </c>
      <c r="B6" s="6">
        <v>37</v>
      </c>
      <c r="C6" s="6">
        <f t="shared" si="0"/>
        <v>185</v>
      </c>
      <c r="D6" s="13">
        <f t="shared" si="1"/>
        <v>15.74468085106383</v>
      </c>
      <c r="E6" s="6" t="s">
        <v>443</v>
      </c>
      <c r="K6" s="6">
        <v>1</v>
      </c>
    </row>
    <row r="7" spans="1:11" x14ac:dyDescent="0.2">
      <c r="A7" t="s">
        <v>433</v>
      </c>
      <c r="B7" s="5">
        <f xml:space="preserve"> SUM(B2:B6)</f>
        <v>235</v>
      </c>
      <c r="C7" s="6"/>
      <c r="D7" s="6">
        <f t="shared" si="1"/>
        <v>100</v>
      </c>
      <c r="E7" s="6"/>
      <c r="K7" s="6">
        <v>1</v>
      </c>
    </row>
    <row r="8" spans="1:11" x14ac:dyDescent="0.2">
      <c r="G8" s="21" t="s">
        <v>470</v>
      </c>
      <c r="I8" s="6"/>
      <c r="K8" s="6">
        <v>1</v>
      </c>
    </row>
    <row r="9" spans="1:11" x14ac:dyDescent="0.2">
      <c r="G9" s="6">
        <f>MODE(K2:K236)</f>
        <v>3</v>
      </c>
      <c r="I9" s="21" t="s">
        <v>472</v>
      </c>
      <c r="K9" s="6">
        <v>1</v>
      </c>
    </row>
    <row r="10" spans="1:11" x14ac:dyDescent="0.2">
      <c r="I10" s="6">
        <f>MAX(K2:K236)-MIN(K2:K236)</f>
        <v>4</v>
      </c>
      <c r="K10" s="6">
        <v>1</v>
      </c>
    </row>
    <row r="11" spans="1:11" x14ac:dyDescent="0.2">
      <c r="A11" s="7" t="s">
        <v>436</v>
      </c>
      <c r="B11" s="22" t="s">
        <v>468</v>
      </c>
      <c r="G11" s="21" t="s">
        <v>469</v>
      </c>
      <c r="K11" s="6">
        <v>1</v>
      </c>
    </row>
    <row r="12" spans="1:11" x14ac:dyDescent="0.2">
      <c r="A12" s="14" cm="1">
        <f t="array" ref="A12">SQRT(SUMPRODUCT(B2:B6,(A2:A6-$G$3)^2)/(SUM(B2:B6)-1))</f>
        <v>1.0764553578665219</v>
      </c>
      <c r="B12" s="13">
        <f>G2/B7</f>
        <v>3.2978723404255321</v>
      </c>
      <c r="G12" s="6">
        <f>MEDIAN(K2:K236)</f>
        <v>3</v>
      </c>
      <c r="K12" s="6">
        <v>1</v>
      </c>
    </row>
    <row r="13" spans="1:11" x14ac:dyDescent="0.2">
      <c r="B13" s="22" t="s">
        <v>473</v>
      </c>
      <c r="G13" s="21" t="s">
        <v>471</v>
      </c>
      <c r="K13" s="6">
        <v>2</v>
      </c>
    </row>
    <row r="14" spans="1:11" x14ac:dyDescent="0.2">
      <c r="B14" s="23">
        <f>(A12/B12)*100</f>
        <v>32.640904399823569</v>
      </c>
      <c r="G14" s="6">
        <f>_xlfn.VAR.S(K2:K236)</f>
        <v>1.1587561374795423</v>
      </c>
      <c r="K14" s="6">
        <v>2</v>
      </c>
    </row>
    <row r="15" spans="1:11" x14ac:dyDescent="0.2">
      <c r="K15" s="6">
        <v>2</v>
      </c>
    </row>
    <row r="16" spans="1:11" x14ac:dyDescent="0.2">
      <c r="K16" s="6">
        <v>2</v>
      </c>
    </row>
    <row r="17" spans="11:11" x14ac:dyDescent="0.2">
      <c r="K17" s="6">
        <v>2</v>
      </c>
    </row>
    <row r="18" spans="11:11" x14ac:dyDescent="0.2">
      <c r="K18" s="6">
        <v>2</v>
      </c>
    </row>
    <row r="19" spans="11:11" x14ac:dyDescent="0.2">
      <c r="K19" s="6">
        <v>2</v>
      </c>
    </row>
    <row r="20" spans="11:11" x14ac:dyDescent="0.2">
      <c r="K20" s="6">
        <v>2</v>
      </c>
    </row>
    <row r="21" spans="11:11" x14ac:dyDescent="0.2">
      <c r="K21" s="6">
        <v>2</v>
      </c>
    </row>
    <row r="22" spans="11:11" x14ac:dyDescent="0.2">
      <c r="K22" s="6">
        <v>2</v>
      </c>
    </row>
    <row r="23" spans="11:11" x14ac:dyDescent="0.2">
      <c r="K23" s="6">
        <v>2</v>
      </c>
    </row>
    <row r="24" spans="11:11" x14ac:dyDescent="0.2">
      <c r="K24" s="6">
        <v>2</v>
      </c>
    </row>
    <row r="25" spans="11:11" x14ac:dyDescent="0.2">
      <c r="K25" s="6">
        <v>2</v>
      </c>
    </row>
    <row r="26" spans="11:11" x14ac:dyDescent="0.2">
      <c r="K26" s="6">
        <v>2</v>
      </c>
    </row>
    <row r="27" spans="11:11" x14ac:dyDescent="0.2">
      <c r="K27" s="6">
        <v>2</v>
      </c>
    </row>
    <row r="28" spans="11:11" x14ac:dyDescent="0.2">
      <c r="K28" s="6">
        <v>2</v>
      </c>
    </row>
    <row r="29" spans="11:11" x14ac:dyDescent="0.2">
      <c r="K29" s="6">
        <v>2</v>
      </c>
    </row>
    <row r="30" spans="11:11" x14ac:dyDescent="0.2">
      <c r="K30" s="6">
        <v>2</v>
      </c>
    </row>
    <row r="31" spans="11:11" x14ac:dyDescent="0.2">
      <c r="K31" s="6">
        <v>2</v>
      </c>
    </row>
    <row r="32" spans="11:11" x14ac:dyDescent="0.2">
      <c r="K32" s="6">
        <v>2</v>
      </c>
    </row>
    <row r="33" spans="11:11" x14ac:dyDescent="0.2">
      <c r="K33" s="6">
        <v>2</v>
      </c>
    </row>
    <row r="34" spans="11:11" x14ac:dyDescent="0.2">
      <c r="K34" s="6">
        <v>2</v>
      </c>
    </row>
    <row r="35" spans="11:11" x14ac:dyDescent="0.2">
      <c r="K35" s="6">
        <v>2</v>
      </c>
    </row>
    <row r="36" spans="11:11" x14ac:dyDescent="0.2">
      <c r="K36" s="6">
        <v>2</v>
      </c>
    </row>
    <row r="37" spans="11:11" x14ac:dyDescent="0.2">
      <c r="K37" s="6">
        <v>2</v>
      </c>
    </row>
    <row r="38" spans="11:11" x14ac:dyDescent="0.2">
      <c r="K38" s="6">
        <v>2</v>
      </c>
    </row>
    <row r="39" spans="11:11" x14ac:dyDescent="0.2">
      <c r="K39" s="6">
        <v>2</v>
      </c>
    </row>
    <row r="40" spans="11:11" x14ac:dyDescent="0.2">
      <c r="K40" s="6">
        <v>2</v>
      </c>
    </row>
    <row r="41" spans="11:11" x14ac:dyDescent="0.2">
      <c r="K41" s="6">
        <v>2</v>
      </c>
    </row>
    <row r="42" spans="11:11" x14ac:dyDescent="0.2">
      <c r="K42" s="6">
        <v>2</v>
      </c>
    </row>
    <row r="43" spans="11:11" x14ac:dyDescent="0.2">
      <c r="K43" s="6">
        <v>2</v>
      </c>
    </row>
    <row r="44" spans="11:11" x14ac:dyDescent="0.2">
      <c r="K44" s="6">
        <v>2</v>
      </c>
    </row>
    <row r="45" spans="11:11" x14ac:dyDescent="0.2">
      <c r="K45" s="6">
        <v>2</v>
      </c>
    </row>
    <row r="46" spans="11:11" x14ac:dyDescent="0.2">
      <c r="K46" s="6">
        <v>2</v>
      </c>
    </row>
    <row r="47" spans="11:11" x14ac:dyDescent="0.2">
      <c r="K47" s="6">
        <v>2</v>
      </c>
    </row>
    <row r="48" spans="11:11" x14ac:dyDescent="0.2">
      <c r="K48" s="6">
        <v>2</v>
      </c>
    </row>
    <row r="49" spans="11:11" x14ac:dyDescent="0.2">
      <c r="K49" s="6">
        <v>2</v>
      </c>
    </row>
    <row r="50" spans="11:11" x14ac:dyDescent="0.2">
      <c r="K50" s="6">
        <v>2</v>
      </c>
    </row>
    <row r="51" spans="11:11" x14ac:dyDescent="0.2">
      <c r="K51" s="6">
        <v>2</v>
      </c>
    </row>
    <row r="52" spans="11:11" x14ac:dyDescent="0.2">
      <c r="K52" s="6">
        <v>2</v>
      </c>
    </row>
    <row r="53" spans="11:11" x14ac:dyDescent="0.2">
      <c r="K53" s="6">
        <v>2</v>
      </c>
    </row>
    <row r="54" spans="11:11" x14ac:dyDescent="0.2">
      <c r="K54" s="6">
        <v>3</v>
      </c>
    </row>
    <row r="55" spans="11:11" x14ac:dyDescent="0.2">
      <c r="K55" s="6">
        <v>3</v>
      </c>
    </row>
    <row r="56" spans="11:11" x14ac:dyDescent="0.2">
      <c r="K56" s="6">
        <v>3</v>
      </c>
    </row>
    <row r="57" spans="11:11" x14ac:dyDescent="0.2">
      <c r="K57" s="6">
        <v>3</v>
      </c>
    </row>
    <row r="58" spans="11:11" x14ac:dyDescent="0.2">
      <c r="K58" s="6">
        <v>3</v>
      </c>
    </row>
    <row r="59" spans="11:11" x14ac:dyDescent="0.2">
      <c r="K59" s="6">
        <v>3</v>
      </c>
    </row>
    <row r="60" spans="11:11" x14ac:dyDescent="0.2">
      <c r="K60" s="6">
        <v>3</v>
      </c>
    </row>
    <row r="61" spans="11:11" x14ac:dyDescent="0.2">
      <c r="K61" s="6">
        <v>3</v>
      </c>
    </row>
    <row r="62" spans="11:11" x14ac:dyDescent="0.2">
      <c r="K62" s="6">
        <v>3</v>
      </c>
    </row>
    <row r="63" spans="11:11" x14ac:dyDescent="0.2">
      <c r="K63" s="6">
        <v>3</v>
      </c>
    </row>
    <row r="64" spans="11:11" x14ac:dyDescent="0.2">
      <c r="K64" s="6">
        <v>3</v>
      </c>
    </row>
    <row r="65" spans="11:11" x14ac:dyDescent="0.2">
      <c r="K65" s="6">
        <v>3</v>
      </c>
    </row>
    <row r="66" spans="11:11" x14ac:dyDescent="0.2">
      <c r="K66" s="6">
        <v>3</v>
      </c>
    </row>
    <row r="67" spans="11:11" x14ac:dyDescent="0.2">
      <c r="K67" s="6">
        <v>3</v>
      </c>
    </row>
    <row r="68" spans="11:11" x14ac:dyDescent="0.2">
      <c r="K68" s="6">
        <v>3</v>
      </c>
    </row>
    <row r="69" spans="11:11" x14ac:dyDescent="0.2">
      <c r="K69" s="6">
        <v>3</v>
      </c>
    </row>
    <row r="70" spans="11:11" x14ac:dyDescent="0.2">
      <c r="K70" s="6">
        <v>3</v>
      </c>
    </row>
    <row r="71" spans="11:11" x14ac:dyDescent="0.2">
      <c r="K71" s="6">
        <v>3</v>
      </c>
    </row>
    <row r="72" spans="11:11" x14ac:dyDescent="0.2">
      <c r="K72" s="6">
        <v>3</v>
      </c>
    </row>
    <row r="73" spans="11:11" x14ac:dyDescent="0.2">
      <c r="K73" s="6">
        <v>3</v>
      </c>
    </row>
    <row r="74" spans="11:11" x14ac:dyDescent="0.2">
      <c r="K74" s="6">
        <v>3</v>
      </c>
    </row>
    <row r="75" spans="11:11" x14ac:dyDescent="0.2">
      <c r="K75" s="6">
        <v>3</v>
      </c>
    </row>
    <row r="76" spans="11:11" x14ac:dyDescent="0.2">
      <c r="K76" s="6">
        <v>3</v>
      </c>
    </row>
    <row r="77" spans="11:11" x14ac:dyDescent="0.2">
      <c r="K77" s="6">
        <v>3</v>
      </c>
    </row>
    <row r="78" spans="11:11" x14ac:dyDescent="0.2">
      <c r="K78" s="6">
        <v>3</v>
      </c>
    </row>
    <row r="79" spans="11:11" x14ac:dyDescent="0.2">
      <c r="K79" s="6">
        <v>3</v>
      </c>
    </row>
    <row r="80" spans="11:11" x14ac:dyDescent="0.2">
      <c r="K80" s="6">
        <v>3</v>
      </c>
    </row>
    <row r="81" spans="11:11" x14ac:dyDescent="0.2">
      <c r="K81" s="6">
        <v>3</v>
      </c>
    </row>
    <row r="82" spans="11:11" x14ac:dyDescent="0.2">
      <c r="K82" s="6">
        <v>3</v>
      </c>
    </row>
    <row r="83" spans="11:11" x14ac:dyDescent="0.2">
      <c r="K83" s="6">
        <v>3</v>
      </c>
    </row>
    <row r="84" spans="11:11" x14ac:dyDescent="0.2">
      <c r="K84" s="6">
        <v>3</v>
      </c>
    </row>
    <row r="85" spans="11:11" x14ac:dyDescent="0.2">
      <c r="K85" s="6">
        <v>3</v>
      </c>
    </row>
    <row r="86" spans="11:11" x14ac:dyDescent="0.2">
      <c r="K86" s="6">
        <v>3</v>
      </c>
    </row>
    <row r="87" spans="11:11" x14ac:dyDescent="0.2">
      <c r="K87" s="6">
        <v>3</v>
      </c>
    </row>
    <row r="88" spans="11:11" x14ac:dyDescent="0.2">
      <c r="K88" s="6">
        <v>3</v>
      </c>
    </row>
    <row r="89" spans="11:11" x14ac:dyDescent="0.2">
      <c r="K89" s="6">
        <v>3</v>
      </c>
    </row>
    <row r="90" spans="11:11" x14ac:dyDescent="0.2">
      <c r="K90" s="6">
        <v>3</v>
      </c>
    </row>
    <row r="91" spans="11:11" x14ac:dyDescent="0.2">
      <c r="K91" s="6">
        <v>3</v>
      </c>
    </row>
    <row r="92" spans="11:11" x14ac:dyDescent="0.2">
      <c r="K92" s="6">
        <v>3</v>
      </c>
    </row>
    <row r="93" spans="11:11" x14ac:dyDescent="0.2">
      <c r="K93" s="6">
        <v>3</v>
      </c>
    </row>
    <row r="94" spans="11:11" x14ac:dyDescent="0.2">
      <c r="K94" s="6">
        <v>3</v>
      </c>
    </row>
    <row r="95" spans="11:11" x14ac:dyDescent="0.2">
      <c r="K95" s="6">
        <v>3</v>
      </c>
    </row>
    <row r="96" spans="11:11" x14ac:dyDescent="0.2">
      <c r="K96" s="6">
        <v>3</v>
      </c>
    </row>
    <row r="97" spans="11:11" x14ac:dyDescent="0.2">
      <c r="K97" s="6">
        <v>3</v>
      </c>
    </row>
    <row r="98" spans="11:11" x14ac:dyDescent="0.2">
      <c r="K98" s="6">
        <v>3</v>
      </c>
    </row>
    <row r="99" spans="11:11" x14ac:dyDescent="0.2">
      <c r="K99" s="6">
        <v>3</v>
      </c>
    </row>
    <row r="100" spans="11:11" x14ac:dyDescent="0.2">
      <c r="K100" s="6">
        <v>3</v>
      </c>
    </row>
    <row r="101" spans="11:11" x14ac:dyDescent="0.2">
      <c r="K101" s="6">
        <v>3</v>
      </c>
    </row>
    <row r="102" spans="11:11" x14ac:dyDescent="0.2">
      <c r="K102" s="6">
        <v>3</v>
      </c>
    </row>
    <row r="103" spans="11:11" x14ac:dyDescent="0.2">
      <c r="K103" s="6">
        <v>3</v>
      </c>
    </row>
    <row r="104" spans="11:11" x14ac:dyDescent="0.2">
      <c r="K104" s="6">
        <v>3</v>
      </c>
    </row>
    <row r="105" spans="11:11" x14ac:dyDescent="0.2">
      <c r="K105" s="6">
        <v>3</v>
      </c>
    </row>
    <row r="106" spans="11:11" x14ac:dyDescent="0.2">
      <c r="K106" s="6">
        <v>3</v>
      </c>
    </row>
    <row r="107" spans="11:11" x14ac:dyDescent="0.2">
      <c r="K107" s="6">
        <v>3</v>
      </c>
    </row>
    <row r="108" spans="11:11" x14ac:dyDescent="0.2">
      <c r="K108" s="6">
        <v>3</v>
      </c>
    </row>
    <row r="109" spans="11:11" x14ac:dyDescent="0.2">
      <c r="K109" s="6">
        <v>3</v>
      </c>
    </row>
    <row r="110" spans="11:11" x14ac:dyDescent="0.2">
      <c r="K110" s="6">
        <v>3</v>
      </c>
    </row>
    <row r="111" spans="11:11" x14ac:dyDescent="0.2">
      <c r="K111" s="6">
        <v>3</v>
      </c>
    </row>
    <row r="112" spans="11:11" x14ac:dyDescent="0.2">
      <c r="K112" s="6">
        <v>3</v>
      </c>
    </row>
    <row r="113" spans="11:11" x14ac:dyDescent="0.2">
      <c r="K113" s="6">
        <v>3</v>
      </c>
    </row>
    <row r="114" spans="11:11" x14ac:dyDescent="0.2">
      <c r="K114" s="6">
        <v>3</v>
      </c>
    </row>
    <row r="115" spans="11:11" x14ac:dyDescent="0.2">
      <c r="K115" s="6">
        <v>3</v>
      </c>
    </row>
    <row r="116" spans="11:11" x14ac:dyDescent="0.2">
      <c r="K116" s="6">
        <v>3</v>
      </c>
    </row>
    <row r="117" spans="11:11" x14ac:dyDescent="0.2">
      <c r="K117" s="6">
        <v>3</v>
      </c>
    </row>
    <row r="118" spans="11:11" x14ac:dyDescent="0.2">
      <c r="K118" s="6">
        <v>3</v>
      </c>
    </row>
    <row r="119" spans="11:11" x14ac:dyDescent="0.2">
      <c r="K119" s="6">
        <v>3</v>
      </c>
    </row>
    <row r="120" spans="11:11" x14ac:dyDescent="0.2">
      <c r="K120" s="6">
        <v>3</v>
      </c>
    </row>
    <row r="121" spans="11:11" x14ac:dyDescent="0.2">
      <c r="K121" s="6">
        <v>3</v>
      </c>
    </row>
    <row r="122" spans="11:11" x14ac:dyDescent="0.2">
      <c r="K122" s="6">
        <v>3</v>
      </c>
    </row>
    <row r="123" spans="11:11" x14ac:dyDescent="0.2">
      <c r="K123" s="6">
        <v>3</v>
      </c>
    </row>
    <row r="124" spans="11:11" x14ac:dyDescent="0.2">
      <c r="K124" s="6">
        <v>3</v>
      </c>
    </row>
    <row r="125" spans="11:11" x14ac:dyDescent="0.2">
      <c r="K125" s="6">
        <v>3</v>
      </c>
    </row>
    <row r="126" spans="11:11" x14ac:dyDescent="0.2">
      <c r="K126" s="6">
        <v>3</v>
      </c>
    </row>
    <row r="127" spans="11:11" x14ac:dyDescent="0.2">
      <c r="K127" s="6">
        <v>3</v>
      </c>
    </row>
    <row r="128" spans="11:11" x14ac:dyDescent="0.2">
      <c r="K128" s="6">
        <v>3</v>
      </c>
    </row>
    <row r="129" spans="11:11" x14ac:dyDescent="0.2">
      <c r="K129" s="6">
        <v>3</v>
      </c>
    </row>
    <row r="130" spans="11:11" x14ac:dyDescent="0.2">
      <c r="K130" s="6">
        <v>3</v>
      </c>
    </row>
    <row r="131" spans="11:11" x14ac:dyDescent="0.2">
      <c r="K131" s="6">
        <v>3</v>
      </c>
    </row>
    <row r="132" spans="11:11" x14ac:dyDescent="0.2">
      <c r="K132" s="6">
        <v>3</v>
      </c>
    </row>
    <row r="133" spans="11:11" x14ac:dyDescent="0.2">
      <c r="K133" s="6">
        <v>3</v>
      </c>
    </row>
    <row r="134" spans="11:11" x14ac:dyDescent="0.2">
      <c r="K134" s="6">
        <v>3</v>
      </c>
    </row>
    <row r="135" spans="11:11" x14ac:dyDescent="0.2">
      <c r="K135" s="6">
        <v>3</v>
      </c>
    </row>
    <row r="136" spans="11:11" x14ac:dyDescent="0.2">
      <c r="K136" s="6">
        <v>3</v>
      </c>
    </row>
    <row r="137" spans="11:11" x14ac:dyDescent="0.2">
      <c r="K137" s="6">
        <v>3</v>
      </c>
    </row>
    <row r="138" spans="11:11" x14ac:dyDescent="0.2">
      <c r="K138" s="6">
        <v>3</v>
      </c>
    </row>
    <row r="139" spans="11:11" x14ac:dyDescent="0.2">
      <c r="K139" s="6">
        <v>3</v>
      </c>
    </row>
    <row r="140" spans="11:11" x14ac:dyDescent="0.2">
      <c r="K140" s="6">
        <v>3</v>
      </c>
    </row>
    <row r="141" spans="11:11" x14ac:dyDescent="0.2">
      <c r="K141" s="6">
        <v>4</v>
      </c>
    </row>
    <row r="142" spans="11:11" x14ac:dyDescent="0.2">
      <c r="K142" s="6">
        <v>4</v>
      </c>
    </row>
    <row r="143" spans="11:11" x14ac:dyDescent="0.2">
      <c r="K143" s="6">
        <v>4</v>
      </c>
    </row>
    <row r="144" spans="11:11" x14ac:dyDescent="0.2">
      <c r="K144" s="6">
        <v>4</v>
      </c>
    </row>
    <row r="145" spans="11:11" x14ac:dyDescent="0.2">
      <c r="K145" s="6">
        <v>4</v>
      </c>
    </row>
    <row r="146" spans="11:11" x14ac:dyDescent="0.2">
      <c r="K146" s="6">
        <v>4</v>
      </c>
    </row>
    <row r="147" spans="11:11" x14ac:dyDescent="0.2">
      <c r="K147" s="6">
        <v>4</v>
      </c>
    </row>
    <row r="148" spans="11:11" x14ac:dyDescent="0.2">
      <c r="K148" s="6">
        <v>4</v>
      </c>
    </row>
    <row r="149" spans="11:11" x14ac:dyDescent="0.2">
      <c r="K149" s="6">
        <v>4</v>
      </c>
    </row>
    <row r="150" spans="11:11" x14ac:dyDescent="0.2">
      <c r="K150" s="6">
        <v>4</v>
      </c>
    </row>
    <row r="151" spans="11:11" x14ac:dyDescent="0.2">
      <c r="K151" s="6">
        <v>4</v>
      </c>
    </row>
    <row r="152" spans="11:11" x14ac:dyDescent="0.2">
      <c r="K152" s="6">
        <v>4</v>
      </c>
    </row>
    <row r="153" spans="11:11" x14ac:dyDescent="0.2">
      <c r="K153" s="6">
        <v>4</v>
      </c>
    </row>
    <row r="154" spans="11:11" x14ac:dyDescent="0.2">
      <c r="K154" s="6">
        <v>4</v>
      </c>
    </row>
    <row r="155" spans="11:11" x14ac:dyDescent="0.2">
      <c r="K155" s="6">
        <v>4</v>
      </c>
    </row>
    <row r="156" spans="11:11" x14ac:dyDescent="0.2">
      <c r="K156" s="6">
        <v>4</v>
      </c>
    </row>
    <row r="157" spans="11:11" x14ac:dyDescent="0.2">
      <c r="K157" s="6">
        <v>4</v>
      </c>
    </row>
    <row r="158" spans="11:11" x14ac:dyDescent="0.2">
      <c r="K158" s="6">
        <v>4</v>
      </c>
    </row>
    <row r="159" spans="11:11" x14ac:dyDescent="0.2">
      <c r="K159" s="6">
        <v>4</v>
      </c>
    </row>
    <row r="160" spans="11:11" x14ac:dyDescent="0.2">
      <c r="K160" s="6">
        <v>4</v>
      </c>
    </row>
    <row r="161" spans="11:11" x14ac:dyDescent="0.2">
      <c r="K161" s="6">
        <v>4</v>
      </c>
    </row>
    <row r="162" spans="11:11" x14ac:dyDescent="0.2">
      <c r="K162" s="6">
        <v>4</v>
      </c>
    </row>
    <row r="163" spans="11:11" x14ac:dyDescent="0.2">
      <c r="K163" s="6">
        <v>4</v>
      </c>
    </row>
    <row r="164" spans="11:11" x14ac:dyDescent="0.2">
      <c r="K164" s="6">
        <v>4</v>
      </c>
    </row>
    <row r="165" spans="11:11" x14ac:dyDescent="0.2">
      <c r="K165" s="6">
        <v>4</v>
      </c>
    </row>
    <row r="166" spans="11:11" x14ac:dyDescent="0.2">
      <c r="K166" s="6">
        <v>4</v>
      </c>
    </row>
    <row r="167" spans="11:11" x14ac:dyDescent="0.2">
      <c r="K167" s="6">
        <v>4</v>
      </c>
    </row>
    <row r="168" spans="11:11" x14ac:dyDescent="0.2">
      <c r="K168" s="6">
        <v>4</v>
      </c>
    </row>
    <row r="169" spans="11:11" x14ac:dyDescent="0.2">
      <c r="K169" s="6">
        <v>4</v>
      </c>
    </row>
    <row r="170" spans="11:11" x14ac:dyDescent="0.2">
      <c r="K170" s="6">
        <v>4</v>
      </c>
    </row>
    <row r="171" spans="11:11" x14ac:dyDescent="0.2">
      <c r="K171" s="6">
        <v>4</v>
      </c>
    </row>
    <row r="172" spans="11:11" x14ac:dyDescent="0.2">
      <c r="K172" s="6">
        <v>4</v>
      </c>
    </row>
    <row r="173" spans="11:11" x14ac:dyDescent="0.2">
      <c r="K173" s="6">
        <v>4</v>
      </c>
    </row>
    <row r="174" spans="11:11" x14ac:dyDescent="0.2">
      <c r="K174" s="6">
        <v>4</v>
      </c>
    </row>
    <row r="175" spans="11:11" x14ac:dyDescent="0.2">
      <c r="K175" s="6">
        <v>4</v>
      </c>
    </row>
    <row r="176" spans="11:11" x14ac:dyDescent="0.2">
      <c r="K176" s="6">
        <v>4</v>
      </c>
    </row>
    <row r="177" spans="11:11" x14ac:dyDescent="0.2">
      <c r="K177" s="6">
        <v>4</v>
      </c>
    </row>
    <row r="178" spans="11:11" x14ac:dyDescent="0.2">
      <c r="K178" s="6">
        <v>4</v>
      </c>
    </row>
    <row r="179" spans="11:11" x14ac:dyDescent="0.2">
      <c r="K179" s="6">
        <v>4</v>
      </c>
    </row>
    <row r="180" spans="11:11" x14ac:dyDescent="0.2">
      <c r="K180" s="6">
        <v>4</v>
      </c>
    </row>
    <row r="181" spans="11:11" x14ac:dyDescent="0.2">
      <c r="K181" s="6">
        <v>4</v>
      </c>
    </row>
    <row r="182" spans="11:11" x14ac:dyDescent="0.2">
      <c r="K182" s="6">
        <v>4</v>
      </c>
    </row>
    <row r="183" spans="11:11" x14ac:dyDescent="0.2">
      <c r="K183" s="6">
        <v>4</v>
      </c>
    </row>
    <row r="184" spans="11:11" x14ac:dyDescent="0.2">
      <c r="K184" s="6">
        <v>4</v>
      </c>
    </row>
    <row r="185" spans="11:11" x14ac:dyDescent="0.2">
      <c r="K185" s="6">
        <v>4</v>
      </c>
    </row>
    <row r="186" spans="11:11" x14ac:dyDescent="0.2">
      <c r="K186" s="6">
        <v>4</v>
      </c>
    </row>
    <row r="187" spans="11:11" x14ac:dyDescent="0.2">
      <c r="K187" s="6">
        <v>4</v>
      </c>
    </row>
    <row r="188" spans="11:11" x14ac:dyDescent="0.2">
      <c r="K188" s="6">
        <v>4</v>
      </c>
    </row>
    <row r="189" spans="11:11" x14ac:dyDescent="0.2">
      <c r="K189" s="6">
        <v>4</v>
      </c>
    </row>
    <row r="190" spans="11:11" x14ac:dyDescent="0.2">
      <c r="K190" s="6">
        <v>4</v>
      </c>
    </row>
    <row r="191" spans="11:11" x14ac:dyDescent="0.2">
      <c r="K191" s="6">
        <v>4</v>
      </c>
    </row>
    <row r="192" spans="11:11" x14ac:dyDescent="0.2">
      <c r="K192" s="6">
        <v>4</v>
      </c>
    </row>
    <row r="193" spans="11:11" x14ac:dyDescent="0.2">
      <c r="K193" s="6">
        <v>4</v>
      </c>
    </row>
    <row r="194" spans="11:11" x14ac:dyDescent="0.2">
      <c r="K194" s="6">
        <v>4</v>
      </c>
    </row>
    <row r="195" spans="11:11" x14ac:dyDescent="0.2">
      <c r="K195" s="6">
        <v>4</v>
      </c>
    </row>
    <row r="196" spans="11:11" x14ac:dyDescent="0.2">
      <c r="K196" s="6">
        <v>4</v>
      </c>
    </row>
    <row r="197" spans="11:11" x14ac:dyDescent="0.2">
      <c r="K197" s="6">
        <v>4</v>
      </c>
    </row>
    <row r="198" spans="11:11" x14ac:dyDescent="0.2">
      <c r="K198" s="6">
        <v>4</v>
      </c>
    </row>
    <row r="199" spans="11:11" x14ac:dyDescent="0.2">
      <c r="K199" s="6">
        <v>4</v>
      </c>
    </row>
    <row r="200" spans="11:11" x14ac:dyDescent="0.2">
      <c r="K200" s="6">
        <v>5</v>
      </c>
    </row>
    <row r="201" spans="11:11" x14ac:dyDescent="0.2">
      <c r="K201" s="6">
        <v>5</v>
      </c>
    </row>
    <row r="202" spans="11:11" x14ac:dyDescent="0.2">
      <c r="K202" s="6">
        <v>5</v>
      </c>
    </row>
    <row r="203" spans="11:11" x14ac:dyDescent="0.2">
      <c r="K203" s="6">
        <v>5</v>
      </c>
    </row>
    <row r="204" spans="11:11" x14ac:dyDescent="0.2">
      <c r="K204" s="6">
        <v>5</v>
      </c>
    </row>
    <row r="205" spans="11:11" x14ac:dyDescent="0.2">
      <c r="K205" s="6">
        <v>5</v>
      </c>
    </row>
    <row r="206" spans="11:11" x14ac:dyDescent="0.2">
      <c r="K206" s="6">
        <v>5</v>
      </c>
    </row>
    <row r="207" spans="11:11" x14ac:dyDescent="0.2">
      <c r="K207" s="6">
        <v>5</v>
      </c>
    </row>
    <row r="208" spans="11:11" x14ac:dyDescent="0.2">
      <c r="K208" s="6">
        <v>5</v>
      </c>
    </row>
    <row r="209" spans="11:11" x14ac:dyDescent="0.2">
      <c r="K209" s="6">
        <v>5</v>
      </c>
    </row>
    <row r="210" spans="11:11" x14ac:dyDescent="0.2">
      <c r="K210" s="6">
        <v>5</v>
      </c>
    </row>
    <row r="211" spans="11:11" x14ac:dyDescent="0.2">
      <c r="K211" s="6">
        <v>5</v>
      </c>
    </row>
    <row r="212" spans="11:11" x14ac:dyDescent="0.2">
      <c r="K212" s="6">
        <v>5</v>
      </c>
    </row>
    <row r="213" spans="11:11" x14ac:dyDescent="0.2">
      <c r="K213" s="6">
        <v>5</v>
      </c>
    </row>
    <row r="214" spans="11:11" x14ac:dyDescent="0.2">
      <c r="K214" s="6">
        <v>5</v>
      </c>
    </row>
    <row r="215" spans="11:11" x14ac:dyDescent="0.2">
      <c r="K215" s="6">
        <v>5</v>
      </c>
    </row>
    <row r="216" spans="11:11" x14ac:dyDescent="0.2">
      <c r="K216" s="6">
        <v>5</v>
      </c>
    </row>
    <row r="217" spans="11:11" x14ac:dyDescent="0.2">
      <c r="K217" s="6">
        <v>5</v>
      </c>
    </row>
    <row r="218" spans="11:11" x14ac:dyDescent="0.2">
      <c r="K218" s="6">
        <v>5</v>
      </c>
    </row>
    <row r="219" spans="11:11" x14ac:dyDescent="0.2">
      <c r="K219" s="6">
        <v>5</v>
      </c>
    </row>
    <row r="220" spans="11:11" x14ac:dyDescent="0.2">
      <c r="K220" s="6">
        <v>5</v>
      </c>
    </row>
    <row r="221" spans="11:11" x14ac:dyDescent="0.2">
      <c r="K221" s="6">
        <v>5</v>
      </c>
    </row>
    <row r="222" spans="11:11" x14ac:dyDescent="0.2">
      <c r="K222" s="6">
        <v>5</v>
      </c>
    </row>
    <row r="223" spans="11:11" x14ac:dyDescent="0.2">
      <c r="K223" s="6">
        <v>5</v>
      </c>
    </row>
    <row r="224" spans="11:11" x14ac:dyDescent="0.2">
      <c r="K224" s="6">
        <v>5</v>
      </c>
    </row>
    <row r="225" spans="11:11" x14ac:dyDescent="0.2">
      <c r="K225" s="6">
        <v>5</v>
      </c>
    </row>
    <row r="226" spans="11:11" x14ac:dyDescent="0.2">
      <c r="K226" s="6">
        <v>5</v>
      </c>
    </row>
    <row r="227" spans="11:11" x14ac:dyDescent="0.2">
      <c r="K227" s="6">
        <v>5</v>
      </c>
    </row>
    <row r="228" spans="11:11" x14ac:dyDescent="0.2">
      <c r="K228" s="6">
        <v>5</v>
      </c>
    </row>
    <row r="229" spans="11:11" x14ac:dyDescent="0.2">
      <c r="K229" s="6">
        <v>5</v>
      </c>
    </row>
    <row r="230" spans="11:11" x14ac:dyDescent="0.2">
      <c r="K230" s="6">
        <v>5</v>
      </c>
    </row>
    <row r="231" spans="11:11" x14ac:dyDescent="0.2">
      <c r="K231" s="6">
        <v>5</v>
      </c>
    </row>
    <row r="232" spans="11:11" x14ac:dyDescent="0.2">
      <c r="K232" s="6">
        <v>5</v>
      </c>
    </row>
    <row r="233" spans="11:11" x14ac:dyDescent="0.2">
      <c r="K233" s="6">
        <v>5</v>
      </c>
    </row>
    <row r="234" spans="11:11" x14ac:dyDescent="0.2">
      <c r="K234" s="6">
        <v>5</v>
      </c>
    </row>
    <row r="235" spans="11:11" x14ac:dyDescent="0.2">
      <c r="K235" s="6">
        <v>5</v>
      </c>
    </row>
    <row r="236" spans="11:11" x14ac:dyDescent="0.2">
      <c r="K236" s="6">
        <v>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6142-555D-40BA-8FE6-3538974EAF6D}">
  <dimension ref="A1:L236"/>
  <sheetViews>
    <sheetView workbookViewId="0">
      <selection activeCell="B1" sqref="B1:B7"/>
    </sheetView>
  </sheetViews>
  <sheetFormatPr baseColWidth="10" defaultRowHeight="12.75" x14ac:dyDescent="0.2"/>
  <cols>
    <col min="1" max="1" width="37.42578125" bestFit="1" customWidth="1"/>
    <col min="2" max="2" width="28" bestFit="1" customWidth="1"/>
    <col min="3" max="3" width="21.5703125" bestFit="1" customWidth="1"/>
    <col min="4" max="4" width="38" bestFit="1" customWidth="1"/>
    <col min="7" max="7" width="18.85546875" bestFit="1" customWidth="1"/>
    <col min="9" max="9" width="12.28515625" bestFit="1" customWidth="1"/>
  </cols>
  <sheetData>
    <row r="1" spans="1:12" x14ac:dyDescent="0.2">
      <c r="A1" s="6" t="s">
        <v>431</v>
      </c>
      <c r="B1" s="6" t="s">
        <v>432</v>
      </c>
      <c r="C1" s="6" t="s">
        <v>438</v>
      </c>
      <c r="D1" s="6" t="s">
        <v>437</v>
      </c>
      <c r="G1" s="8" t="s">
        <v>434</v>
      </c>
    </row>
    <row r="2" spans="1:12" x14ac:dyDescent="0.2">
      <c r="A2" s="6">
        <v>1</v>
      </c>
      <c r="B2" s="6">
        <v>8</v>
      </c>
      <c r="C2" s="6">
        <f t="shared" ref="C2:C6" si="0" xml:space="preserve"> A2*B2</f>
        <v>8</v>
      </c>
      <c r="D2" s="13">
        <f t="shared" ref="D2:D7" si="1">B2/$B$7*100</f>
        <v>3.4042553191489362</v>
      </c>
      <c r="G2" s="8">
        <f>SUM(C2:C6)</f>
        <v>734</v>
      </c>
      <c r="L2" s="6">
        <v>1</v>
      </c>
    </row>
    <row r="3" spans="1:12" x14ac:dyDescent="0.2">
      <c r="A3" s="6">
        <v>2</v>
      </c>
      <c r="B3" s="6">
        <v>52</v>
      </c>
      <c r="C3" s="6">
        <f t="shared" si="0"/>
        <v>104</v>
      </c>
      <c r="D3" s="13">
        <f t="shared" si="1"/>
        <v>22.127659574468083</v>
      </c>
      <c r="F3" s="7" t="s">
        <v>435</v>
      </c>
      <c r="G3" s="7">
        <f>G2/235</f>
        <v>3.1234042553191488</v>
      </c>
      <c r="L3" s="6">
        <v>1</v>
      </c>
    </row>
    <row r="4" spans="1:12" x14ac:dyDescent="0.2">
      <c r="A4" s="6">
        <v>3</v>
      </c>
      <c r="B4" s="6">
        <v>94</v>
      </c>
      <c r="C4" s="6">
        <f t="shared" si="0"/>
        <v>282</v>
      </c>
      <c r="D4" s="13">
        <f t="shared" si="1"/>
        <v>40</v>
      </c>
      <c r="L4" s="6">
        <v>1</v>
      </c>
    </row>
    <row r="5" spans="1:12" x14ac:dyDescent="0.2">
      <c r="A5" s="6">
        <v>4</v>
      </c>
      <c r="B5" s="6">
        <v>65</v>
      </c>
      <c r="C5" s="6">
        <f t="shared" si="0"/>
        <v>260</v>
      </c>
      <c r="D5" s="13">
        <f t="shared" si="1"/>
        <v>27.659574468085108</v>
      </c>
      <c r="L5" s="6">
        <v>1</v>
      </c>
    </row>
    <row r="6" spans="1:12" x14ac:dyDescent="0.2">
      <c r="A6" s="6">
        <v>5</v>
      </c>
      <c r="B6" s="6">
        <v>16</v>
      </c>
      <c r="C6" s="6">
        <f t="shared" si="0"/>
        <v>80</v>
      </c>
      <c r="D6" s="13">
        <f t="shared" si="1"/>
        <v>6.8085106382978724</v>
      </c>
      <c r="L6" s="6">
        <v>1</v>
      </c>
    </row>
    <row r="7" spans="1:12" x14ac:dyDescent="0.2">
      <c r="A7" t="s">
        <v>433</v>
      </c>
      <c r="B7" s="5">
        <f xml:space="preserve"> SUM(B2:B6)</f>
        <v>235</v>
      </c>
      <c r="C7" s="6"/>
      <c r="D7" s="6">
        <f t="shared" si="1"/>
        <v>100</v>
      </c>
      <c r="L7" s="6">
        <v>1</v>
      </c>
    </row>
    <row r="8" spans="1:12" x14ac:dyDescent="0.2">
      <c r="L8" s="6">
        <v>1</v>
      </c>
    </row>
    <row r="9" spans="1:12" x14ac:dyDescent="0.2">
      <c r="G9" s="21" t="s">
        <v>470</v>
      </c>
      <c r="I9" s="6"/>
      <c r="L9" s="6">
        <v>1</v>
      </c>
    </row>
    <row r="10" spans="1:12" x14ac:dyDescent="0.2">
      <c r="G10" s="6">
        <f>MODE(L2:L236)</f>
        <v>3</v>
      </c>
      <c r="I10" s="21" t="s">
        <v>472</v>
      </c>
      <c r="L10" s="6">
        <v>2</v>
      </c>
    </row>
    <row r="11" spans="1:12" x14ac:dyDescent="0.2">
      <c r="A11" s="7" t="s">
        <v>436</v>
      </c>
      <c r="B11" s="22" t="s">
        <v>468</v>
      </c>
      <c r="I11" s="6">
        <f>MAX(L2:L236)-MIN(L2:L236)</f>
        <v>4</v>
      </c>
      <c r="L11" s="6">
        <v>2</v>
      </c>
    </row>
    <row r="12" spans="1:12" x14ac:dyDescent="0.2">
      <c r="A12" s="14" cm="1">
        <f t="array" ref="A12">SQRT(SUMPRODUCT(B2:B6,(A2:A6-$G$3)^2)/(SUM(B2:B6)-1))</f>
        <v>0.94602469338523898</v>
      </c>
      <c r="B12" s="13">
        <f>G2/B7</f>
        <v>3.1234042553191488</v>
      </c>
      <c r="G12" s="21" t="s">
        <v>469</v>
      </c>
      <c r="L12" s="6">
        <v>2</v>
      </c>
    </row>
    <row r="13" spans="1:12" x14ac:dyDescent="0.2">
      <c r="B13" s="22" t="s">
        <v>473</v>
      </c>
      <c r="G13" s="6">
        <f>MEDIAN(L2:L236)</f>
        <v>3</v>
      </c>
      <c r="L13" s="6">
        <v>2</v>
      </c>
    </row>
    <row r="14" spans="1:12" x14ac:dyDescent="0.2">
      <c r="B14" s="23">
        <f>(A12/B12)*100</f>
        <v>30.288256532088713</v>
      </c>
      <c r="G14" s="21" t="s">
        <v>471</v>
      </c>
      <c r="L14" s="6">
        <v>2</v>
      </c>
    </row>
    <row r="15" spans="1:12" x14ac:dyDescent="0.2">
      <c r="G15" s="6">
        <f>_xlfn.VAR.S(L2:L236)</f>
        <v>0.89496272049463477</v>
      </c>
      <c r="L15" s="6">
        <v>2</v>
      </c>
    </row>
    <row r="16" spans="1:12" x14ac:dyDescent="0.2">
      <c r="L16" s="6">
        <v>2</v>
      </c>
    </row>
    <row r="17" spans="12:12" x14ac:dyDescent="0.2">
      <c r="L17" s="6">
        <v>2</v>
      </c>
    </row>
    <row r="18" spans="12:12" x14ac:dyDescent="0.2">
      <c r="L18" s="6">
        <v>2</v>
      </c>
    </row>
    <row r="19" spans="12:12" x14ac:dyDescent="0.2">
      <c r="L19" s="6">
        <v>2</v>
      </c>
    </row>
    <row r="20" spans="12:12" x14ac:dyDescent="0.2">
      <c r="L20" s="6">
        <v>2</v>
      </c>
    </row>
    <row r="21" spans="12:12" x14ac:dyDescent="0.2">
      <c r="L21" s="6">
        <v>2</v>
      </c>
    </row>
    <row r="22" spans="12:12" x14ac:dyDescent="0.2">
      <c r="L22" s="6">
        <v>2</v>
      </c>
    </row>
    <row r="23" spans="12:12" x14ac:dyDescent="0.2">
      <c r="L23" s="6">
        <v>2</v>
      </c>
    </row>
    <row r="24" spans="12:12" x14ac:dyDescent="0.2">
      <c r="L24" s="6">
        <v>2</v>
      </c>
    </row>
    <row r="25" spans="12:12" x14ac:dyDescent="0.2">
      <c r="L25" s="6">
        <v>2</v>
      </c>
    </row>
    <row r="26" spans="12:12" x14ac:dyDescent="0.2">
      <c r="L26" s="6">
        <v>2</v>
      </c>
    </row>
    <row r="27" spans="12:12" x14ac:dyDescent="0.2">
      <c r="L27" s="6">
        <v>2</v>
      </c>
    </row>
    <row r="28" spans="12:12" x14ac:dyDescent="0.2">
      <c r="L28" s="6">
        <v>2</v>
      </c>
    </row>
    <row r="29" spans="12:12" x14ac:dyDescent="0.2">
      <c r="L29" s="6">
        <v>2</v>
      </c>
    </row>
    <row r="30" spans="12:12" x14ac:dyDescent="0.2">
      <c r="L30" s="6">
        <v>2</v>
      </c>
    </row>
    <row r="31" spans="12:12" x14ac:dyDescent="0.2">
      <c r="L31" s="6">
        <v>2</v>
      </c>
    </row>
    <row r="32" spans="12:12" x14ac:dyDescent="0.2">
      <c r="L32" s="6">
        <v>2</v>
      </c>
    </row>
    <row r="33" spans="12:12" x14ac:dyDescent="0.2">
      <c r="L33" s="6">
        <v>2</v>
      </c>
    </row>
    <row r="34" spans="12:12" x14ac:dyDescent="0.2">
      <c r="L34" s="6">
        <v>2</v>
      </c>
    </row>
    <row r="35" spans="12:12" x14ac:dyDescent="0.2">
      <c r="L35" s="6">
        <v>2</v>
      </c>
    </row>
    <row r="36" spans="12:12" x14ac:dyDescent="0.2">
      <c r="L36" s="6">
        <v>2</v>
      </c>
    </row>
    <row r="37" spans="12:12" x14ac:dyDescent="0.2">
      <c r="L37" s="6">
        <v>2</v>
      </c>
    </row>
    <row r="38" spans="12:12" x14ac:dyDescent="0.2">
      <c r="L38" s="6">
        <v>2</v>
      </c>
    </row>
    <row r="39" spans="12:12" x14ac:dyDescent="0.2">
      <c r="L39" s="6">
        <v>2</v>
      </c>
    </row>
    <row r="40" spans="12:12" x14ac:dyDescent="0.2">
      <c r="L40" s="6">
        <v>2</v>
      </c>
    </row>
    <row r="41" spans="12:12" x14ac:dyDescent="0.2">
      <c r="L41" s="6">
        <v>2</v>
      </c>
    </row>
    <row r="42" spans="12:12" x14ac:dyDescent="0.2">
      <c r="L42" s="6">
        <v>2</v>
      </c>
    </row>
    <row r="43" spans="12:12" x14ac:dyDescent="0.2">
      <c r="L43" s="6">
        <v>2</v>
      </c>
    </row>
    <row r="44" spans="12:12" x14ac:dyDescent="0.2">
      <c r="L44" s="6">
        <v>2</v>
      </c>
    </row>
    <row r="45" spans="12:12" x14ac:dyDescent="0.2">
      <c r="L45" s="6">
        <v>2</v>
      </c>
    </row>
    <row r="46" spans="12:12" x14ac:dyDescent="0.2">
      <c r="L46" s="6">
        <v>2</v>
      </c>
    </row>
    <row r="47" spans="12:12" x14ac:dyDescent="0.2">
      <c r="L47" s="6">
        <v>2</v>
      </c>
    </row>
    <row r="48" spans="12:12" x14ac:dyDescent="0.2">
      <c r="L48" s="6">
        <v>2</v>
      </c>
    </row>
    <row r="49" spans="12:12" x14ac:dyDescent="0.2">
      <c r="L49" s="6">
        <v>2</v>
      </c>
    </row>
    <row r="50" spans="12:12" x14ac:dyDescent="0.2">
      <c r="L50" s="6">
        <v>2</v>
      </c>
    </row>
    <row r="51" spans="12:12" x14ac:dyDescent="0.2">
      <c r="L51" s="6">
        <v>2</v>
      </c>
    </row>
    <row r="52" spans="12:12" x14ac:dyDescent="0.2">
      <c r="L52" s="6">
        <v>2</v>
      </c>
    </row>
    <row r="53" spans="12:12" x14ac:dyDescent="0.2">
      <c r="L53" s="6">
        <v>2</v>
      </c>
    </row>
    <row r="54" spans="12:12" x14ac:dyDescent="0.2">
      <c r="L54" s="6">
        <v>2</v>
      </c>
    </row>
    <row r="55" spans="12:12" x14ac:dyDescent="0.2">
      <c r="L55" s="6">
        <v>2</v>
      </c>
    </row>
    <row r="56" spans="12:12" x14ac:dyDescent="0.2">
      <c r="L56" s="6">
        <v>2</v>
      </c>
    </row>
    <row r="57" spans="12:12" x14ac:dyDescent="0.2">
      <c r="L57" s="6">
        <v>2</v>
      </c>
    </row>
    <row r="58" spans="12:12" x14ac:dyDescent="0.2">
      <c r="L58" s="6">
        <v>2</v>
      </c>
    </row>
    <row r="59" spans="12:12" x14ac:dyDescent="0.2">
      <c r="L59" s="6">
        <v>2</v>
      </c>
    </row>
    <row r="60" spans="12:12" x14ac:dyDescent="0.2">
      <c r="L60" s="6">
        <v>2</v>
      </c>
    </row>
    <row r="61" spans="12:12" x14ac:dyDescent="0.2">
      <c r="L61" s="6">
        <v>2</v>
      </c>
    </row>
    <row r="62" spans="12:12" x14ac:dyDescent="0.2">
      <c r="L62" s="6">
        <v>3</v>
      </c>
    </row>
    <row r="63" spans="12:12" x14ac:dyDescent="0.2">
      <c r="L63" s="6">
        <v>3</v>
      </c>
    </row>
    <row r="64" spans="12:12" x14ac:dyDescent="0.2">
      <c r="L64" s="6">
        <v>3</v>
      </c>
    </row>
    <row r="65" spans="12:12" x14ac:dyDescent="0.2">
      <c r="L65" s="6">
        <v>3</v>
      </c>
    </row>
    <row r="66" spans="12:12" x14ac:dyDescent="0.2">
      <c r="L66" s="6">
        <v>3</v>
      </c>
    </row>
    <row r="67" spans="12:12" x14ac:dyDescent="0.2">
      <c r="L67" s="6">
        <v>3</v>
      </c>
    </row>
    <row r="68" spans="12:12" x14ac:dyDescent="0.2">
      <c r="L68" s="6">
        <v>3</v>
      </c>
    </row>
    <row r="69" spans="12:12" x14ac:dyDescent="0.2">
      <c r="L69" s="6">
        <v>3</v>
      </c>
    </row>
    <row r="70" spans="12:12" x14ac:dyDescent="0.2">
      <c r="L70" s="6">
        <v>3</v>
      </c>
    </row>
    <row r="71" spans="12:12" x14ac:dyDescent="0.2">
      <c r="L71" s="6">
        <v>3</v>
      </c>
    </row>
    <row r="72" spans="12:12" x14ac:dyDescent="0.2">
      <c r="L72" s="6">
        <v>3</v>
      </c>
    </row>
    <row r="73" spans="12:12" x14ac:dyDescent="0.2">
      <c r="L73" s="6">
        <v>3</v>
      </c>
    </row>
    <row r="74" spans="12:12" x14ac:dyDescent="0.2">
      <c r="L74" s="6">
        <v>3</v>
      </c>
    </row>
    <row r="75" spans="12:12" x14ac:dyDescent="0.2">
      <c r="L75" s="6">
        <v>3</v>
      </c>
    </row>
    <row r="76" spans="12:12" x14ac:dyDescent="0.2">
      <c r="L76" s="6">
        <v>3</v>
      </c>
    </row>
    <row r="77" spans="12:12" x14ac:dyDescent="0.2">
      <c r="L77" s="6">
        <v>3</v>
      </c>
    </row>
    <row r="78" spans="12:12" x14ac:dyDescent="0.2">
      <c r="L78" s="6">
        <v>3</v>
      </c>
    </row>
    <row r="79" spans="12:12" x14ac:dyDescent="0.2">
      <c r="L79" s="6">
        <v>3</v>
      </c>
    </row>
    <row r="80" spans="12:12" x14ac:dyDescent="0.2">
      <c r="L80" s="6">
        <v>3</v>
      </c>
    </row>
    <row r="81" spans="12:12" x14ac:dyDescent="0.2">
      <c r="L81" s="6">
        <v>3</v>
      </c>
    </row>
    <row r="82" spans="12:12" x14ac:dyDescent="0.2">
      <c r="L82" s="6">
        <v>3</v>
      </c>
    </row>
    <row r="83" spans="12:12" x14ac:dyDescent="0.2">
      <c r="L83" s="6">
        <v>3</v>
      </c>
    </row>
    <row r="84" spans="12:12" x14ac:dyDescent="0.2">
      <c r="L84" s="6">
        <v>3</v>
      </c>
    </row>
    <row r="85" spans="12:12" x14ac:dyDescent="0.2">
      <c r="L85" s="6">
        <v>3</v>
      </c>
    </row>
    <row r="86" spans="12:12" x14ac:dyDescent="0.2">
      <c r="L86" s="6">
        <v>3</v>
      </c>
    </row>
    <row r="87" spans="12:12" x14ac:dyDescent="0.2">
      <c r="L87" s="6">
        <v>3</v>
      </c>
    </row>
    <row r="88" spans="12:12" x14ac:dyDescent="0.2">
      <c r="L88" s="6">
        <v>3</v>
      </c>
    </row>
    <row r="89" spans="12:12" x14ac:dyDescent="0.2">
      <c r="L89" s="6">
        <v>3</v>
      </c>
    </row>
    <row r="90" spans="12:12" x14ac:dyDescent="0.2">
      <c r="L90" s="6">
        <v>3</v>
      </c>
    </row>
    <row r="91" spans="12:12" x14ac:dyDescent="0.2">
      <c r="L91" s="6">
        <v>3</v>
      </c>
    </row>
    <row r="92" spans="12:12" x14ac:dyDescent="0.2">
      <c r="L92" s="6">
        <v>3</v>
      </c>
    </row>
    <row r="93" spans="12:12" x14ac:dyDescent="0.2">
      <c r="L93" s="6">
        <v>3</v>
      </c>
    </row>
    <row r="94" spans="12:12" x14ac:dyDescent="0.2">
      <c r="L94" s="6">
        <v>3</v>
      </c>
    </row>
    <row r="95" spans="12:12" x14ac:dyDescent="0.2">
      <c r="L95" s="6">
        <v>3</v>
      </c>
    </row>
    <row r="96" spans="12:12" x14ac:dyDescent="0.2">
      <c r="L96" s="6">
        <v>3</v>
      </c>
    </row>
    <row r="97" spans="12:12" x14ac:dyDescent="0.2">
      <c r="L97" s="6">
        <v>3</v>
      </c>
    </row>
    <row r="98" spans="12:12" x14ac:dyDescent="0.2">
      <c r="L98" s="6">
        <v>3</v>
      </c>
    </row>
    <row r="99" spans="12:12" x14ac:dyDescent="0.2">
      <c r="L99" s="6">
        <v>3</v>
      </c>
    </row>
    <row r="100" spans="12:12" x14ac:dyDescent="0.2">
      <c r="L100" s="6">
        <v>3</v>
      </c>
    </row>
    <row r="101" spans="12:12" x14ac:dyDescent="0.2">
      <c r="L101" s="6">
        <v>3</v>
      </c>
    </row>
    <row r="102" spans="12:12" x14ac:dyDescent="0.2">
      <c r="L102" s="6">
        <v>3</v>
      </c>
    </row>
    <row r="103" spans="12:12" x14ac:dyDescent="0.2">
      <c r="L103" s="6">
        <v>3</v>
      </c>
    </row>
    <row r="104" spans="12:12" x14ac:dyDescent="0.2">
      <c r="L104" s="6">
        <v>3</v>
      </c>
    </row>
    <row r="105" spans="12:12" x14ac:dyDescent="0.2">
      <c r="L105" s="6">
        <v>3</v>
      </c>
    </row>
    <row r="106" spans="12:12" x14ac:dyDescent="0.2">
      <c r="L106" s="6">
        <v>3</v>
      </c>
    </row>
    <row r="107" spans="12:12" x14ac:dyDescent="0.2">
      <c r="L107" s="6">
        <v>3</v>
      </c>
    </row>
    <row r="108" spans="12:12" x14ac:dyDescent="0.2">
      <c r="L108" s="6">
        <v>3</v>
      </c>
    </row>
    <row r="109" spans="12:12" x14ac:dyDescent="0.2">
      <c r="L109" s="6">
        <v>3</v>
      </c>
    </row>
    <row r="110" spans="12:12" x14ac:dyDescent="0.2">
      <c r="L110" s="6">
        <v>3</v>
      </c>
    </row>
    <row r="111" spans="12:12" x14ac:dyDescent="0.2">
      <c r="L111" s="6">
        <v>3</v>
      </c>
    </row>
    <row r="112" spans="12:12" x14ac:dyDescent="0.2">
      <c r="L112" s="6">
        <v>3</v>
      </c>
    </row>
    <row r="113" spans="12:12" x14ac:dyDescent="0.2">
      <c r="L113" s="6">
        <v>3</v>
      </c>
    </row>
    <row r="114" spans="12:12" x14ac:dyDescent="0.2">
      <c r="L114" s="6">
        <v>3</v>
      </c>
    </row>
    <row r="115" spans="12:12" x14ac:dyDescent="0.2">
      <c r="L115" s="6">
        <v>3</v>
      </c>
    </row>
    <row r="116" spans="12:12" x14ac:dyDescent="0.2">
      <c r="L116" s="6">
        <v>3</v>
      </c>
    </row>
    <row r="117" spans="12:12" x14ac:dyDescent="0.2">
      <c r="L117" s="6">
        <v>3</v>
      </c>
    </row>
    <row r="118" spans="12:12" x14ac:dyDescent="0.2">
      <c r="L118" s="6">
        <v>3</v>
      </c>
    </row>
    <row r="119" spans="12:12" x14ac:dyDescent="0.2">
      <c r="L119" s="6">
        <v>3</v>
      </c>
    </row>
    <row r="120" spans="12:12" x14ac:dyDescent="0.2">
      <c r="L120" s="6">
        <v>3</v>
      </c>
    </row>
    <row r="121" spans="12:12" x14ac:dyDescent="0.2">
      <c r="L121" s="6">
        <v>3</v>
      </c>
    </row>
    <row r="122" spans="12:12" x14ac:dyDescent="0.2">
      <c r="L122" s="6">
        <v>3</v>
      </c>
    </row>
    <row r="123" spans="12:12" x14ac:dyDescent="0.2">
      <c r="L123" s="6">
        <v>3</v>
      </c>
    </row>
    <row r="124" spans="12:12" x14ac:dyDescent="0.2">
      <c r="L124" s="6">
        <v>3</v>
      </c>
    </row>
    <row r="125" spans="12:12" x14ac:dyDescent="0.2">
      <c r="L125" s="6">
        <v>3</v>
      </c>
    </row>
    <row r="126" spans="12:12" x14ac:dyDescent="0.2">
      <c r="L126" s="6">
        <v>3</v>
      </c>
    </row>
    <row r="127" spans="12:12" x14ac:dyDescent="0.2">
      <c r="L127" s="6">
        <v>3</v>
      </c>
    </row>
    <row r="128" spans="12:12" x14ac:dyDescent="0.2">
      <c r="L128" s="6">
        <v>3</v>
      </c>
    </row>
    <row r="129" spans="12:12" x14ac:dyDescent="0.2">
      <c r="L129" s="6">
        <v>3</v>
      </c>
    </row>
    <row r="130" spans="12:12" x14ac:dyDescent="0.2">
      <c r="L130" s="6">
        <v>3</v>
      </c>
    </row>
    <row r="131" spans="12:12" x14ac:dyDescent="0.2">
      <c r="L131" s="6">
        <v>3</v>
      </c>
    </row>
    <row r="132" spans="12:12" x14ac:dyDescent="0.2">
      <c r="L132" s="6">
        <v>3</v>
      </c>
    </row>
    <row r="133" spans="12:12" x14ac:dyDescent="0.2">
      <c r="L133" s="6">
        <v>3</v>
      </c>
    </row>
    <row r="134" spans="12:12" x14ac:dyDescent="0.2">
      <c r="L134" s="6">
        <v>3</v>
      </c>
    </row>
    <row r="135" spans="12:12" x14ac:dyDescent="0.2">
      <c r="L135" s="6">
        <v>3</v>
      </c>
    </row>
    <row r="136" spans="12:12" x14ac:dyDescent="0.2">
      <c r="L136" s="6">
        <v>3</v>
      </c>
    </row>
    <row r="137" spans="12:12" x14ac:dyDescent="0.2">
      <c r="L137" s="6">
        <v>3</v>
      </c>
    </row>
    <row r="138" spans="12:12" x14ac:dyDescent="0.2">
      <c r="L138" s="6">
        <v>3</v>
      </c>
    </row>
    <row r="139" spans="12:12" x14ac:dyDescent="0.2">
      <c r="L139" s="6">
        <v>3</v>
      </c>
    </row>
    <row r="140" spans="12:12" x14ac:dyDescent="0.2">
      <c r="L140" s="6">
        <v>3</v>
      </c>
    </row>
    <row r="141" spans="12:12" x14ac:dyDescent="0.2">
      <c r="L141" s="6">
        <v>3</v>
      </c>
    </row>
    <row r="142" spans="12:12" x14ac:dyDescent="0.2">
      <c r="L142" s="6">
        <v>3</v>
      </c>
    </row>
    <row r="143" spans="12:12" x14ac:dyDescent="0.2">
      <c r="L143" s="6">
        <v>3</v>
      </c>
    </row>
    <row r="144" spans="12:12" x14ac:dyDescent="0.2">
      <c r="L144" s="6">
        <v>3</v>
      </c>
    </row>
    <row r="145" spans="12:12" x14ac:dyDescent="0.2">
      <c r="L145" s="6">
        <v>3</v>
      </c>
    </row>
    <row r="146" spans="12:12" x14ac:dyDescent="0.2">
      <c r="L146" s="6">
        <v>3</v>
      </c>
    </row>
    <row r="147" spans="12:12" x14ac:dyDescent="0.2">
      <c r="L147" s="6">
        <v>3</v>
      </c>
    </row>
    <row r="148" spans="12:12" x14ac:dyDescent="0.2">
      <c r="L148" s="6">
        <v>3</v>
      </c>
    </row>
    <row r="149" spans="12:12" x14ac:dyDescent="0.2">
      <c r="L149" s="6">
        <v>3</v>
      </c>
    </row>
    <row r="150" spans="12:12" x14ac:dyDescent="0.2">
      <c r="L150" s="6">
        <v>3</v>
      </c>
    </row>
    <row r="151" spans="12:12" x14ac:dyDescent="0.2">
      <c r="L151" s="6">
        <v>3</v>
      </c>
    </row>
    <row r="152" spans="12:12" x14ac:dyDescent="0.2">
      <c r="L152" s="6">
        <v>3</v>
      </c>
    </row>
    <row r="153" spans="12:12" x14ac:dyDescent="0.2">
      <c r="L153" s="6">
        <v>3</v>
      </c>
    </row>
    <row r="154" spans="12:12" x14ac:dyDescent="0.2">
      <c r="L154" s="6">
        <v>3</v>
      </c>
    </row>
    <row r="155" spans="12:12" x14ac:dyDescent="0.2">
      <c r="L155" s="6">
        <v>3</v>
      </c>
    </row>
    <row r="156" spans="12:12" x14ac:dyDescent="0.2">
      <c r="L156" s="6">
        <v>4</v>
      </c>
    </row>
    <row r="157" spans="12:12" x14ac:dyDescent="0.2">
      <c r="L157" s="6">
        <v>4</v>
      </c>
    </row>
    <row r="158" spans="12:12" x14ac:dyDescent="0.2">
      <c r="L158" s="6">
        <v>4</v>
      </c>
    </row>
    <row r="159" spans="12:12" x14ac:dyDescent="0.2">
      <c r="L159" s="6">
        <v>4</v>
      </c>
    </row>
    <row r="160" spans="12:12" x14ac:dyDescent="0.2">
      <c r="L160" s="6">
        <v>4</v>
      </c>
    </row>
    <row r="161" spans="12:12" x14ac:dyDescent="0.2">
      <c r="L161" s="6">
        <v>4</v>
      </c>
    </row>
    <row r="162" spans="12:12" x14ac:dyDescent="0.2">
      <c r="L162" s="6">
        <v>4</v>
      </c>
    </row>
    <row r="163" spans="12:12" x14ac:dyDescent="0.2">
      <c r="L163" s="6">
        <v>4</v>
      </c>
    </row>
    <row r="164" spans="12:12" x14ac:dyDescent="0.2">
      <c r="L164" s="6">
        <v>4</v>
      </c>
    </row>
    <row r="165" spans="12:12" x14ac:dyDescent="0.2">
      <c r="L165" s="6">
        <v>4</v>
      </c>
    </row>
    <row r="166" spans="12:12" x14ac:dyDescent="0.2">
      <c r="L166" s="6">
        <v>4</v>
      </c>
    </row>
    <row r="167" spans="12:12" x14ac:dyDescent="0.2">
      <c r="L167" s="6">
        <v>4</v>
      </c>
    </row>
    <row r="168" spans="12:12" x14ac:dyDescent="0.2">
      <c r="L168" s="6">
        <v>4</v>
      </c>
    </row>
    <row r="169" spans="12:12" x14ac:dyDescent="0.2">
      <c r="L169" s="6">
        <v>4</v>
      </c>
    </row>
    <row r="170" spans="12:12" x14ac:dyDescent="0.2">
      <c r="L170" s="6">
        <v>4</v>
      </c>
    </row>
    <row r="171" spans="12:12" x14ac:dyDescent="0.2">
      <c r="L171" s="6">
        <v>4</v>
      </c>
    </row>
    <row r="172" spans="12:12" x14ac:dyDescent="0.2">
      <c r="L172" s="6">
        <v>4</v>
      </c>
    </row>
    <row r="173" spans="12:12" x14ac:dyDescent="0.2">
      <c r="L173" s="6">
        <v>4</v>
      </c>
    </row>
    <row r="174" spans="12:12" x14ac:dyDescent="0.2">
      <c r="L174" s="6">
        <v>4</v>
      </c>
    </row>
    <row r="175" spans="12:12" x14ac:dyDescent="0.2">
      <c r="L175" s="6">
        <v>4</v>
      </c>
    </row>
    <row r="176" spans="12:12" x14ac:dyDescent="0.2">
      <c r="L176" s="6">
        <v>4</v>
      </c>
    </row>
    <row r="177" spans="12:12" x14ac:dyDescent="0.2">
      <c r="L177" s="6">
        <v>4</v>
      </c>
    </row>
    <row r="178" spans="12:12" x14ac:dyDescent="0.2">
      <c r="L178" s="6">
        <v>4</v>
      </c>
    </row>
    <row r="179" spans="12:12" x14ac:dyDescent="0.2">
      <c r="L179" s="6">
        <v>4</v>
      </c>
    </row>
    <row r="180" spans="12:12" x14ac:dyDescent="0.2">
      <c r="L180" s="6">
        <v>4</v>
      </c>
    </row>
    <row r="181" spans="12:12" x14ac:dyDescent="0.2">
      <c r="L181" s="6">
        <v>4</v>
      </c>
    </row>
    <row r="182" spans="12:12" x14ac:dyDescent="0.2">
      <c r="L182" s="6">
        <v>4</v>
      </c>
    </row>
    <row r="183" spans="12:12" x14ac:dyDescent="0.2">
      <c r="L183" s="6">
        <v>4</v>
      </c>
    </row>
    <row r="184" spans="12:12" x14ac:dyDescent="0.2">
      <c r="L184" s="6">
        <v>4</v>
      </c>
    </row>
    <row r="185" spans="12:12" x14ac:dyDescent="0.2">
      <c r="L185" s="6">
        <v>4</v>
      </c>
    </row>
    <row r="186" spans="12:12" x14ac:dyDescent="0.2">
      <c r="L186" s="6">
        <v>4</v>
      </c>
    </row>
    <row r="187" spans="12:12" x14ac:dyDescent="0.2">
      <c r="L187" s="6">
        <v>4</v>
      </c>
    </row>
    <row r="188" spans="12:12" x14ac:dyDescent="0.2">
      <c r="L188" s="6">
        <v>4</v>
      </c>
    </row>
    <row r="189" spans="12:12" x14ac:dyDescent="0.2">
      <c r="L189" s="6">
        <v>4</v>
      </c>
    </row>
    <row r="190" spans="12:12" x14ac:dyDescent="0.2">
      <c r="L190" s="6">
        <v>4</v>
      </c>
    </row>
    <row r="191" spans="12:12" x14ac:dyDescent="0.2">
      <c r="L191" s="6">
        <v>4</v>
      </c>
    </row>
    <row r="192" spans="12:12" x14ac:dyDescent="0.2">
      <c r="L192" s="6">
        <v>4</v>
      </c>
    </row>
    <row r="193" spans="12:12" x14ac:dyDescent="0.2">
      <c r="L193" s="6">
        <v>4</v>
      </c>
    </row>
    <row r="194" spans="12:12" x14ac:dyDescent="0.2">
      <c r="L194" s="6">
        <v>4</v>
      </c>
    </row>
    <row r="195" spans="12:12" x14ac:dyDescent="0.2">
      <c r="L195" s="6">
        <v>4</v>
      </c>
    </row>
    <row r="196" spans="12:12" x14ac:dyDescent="0.2">
      <c r="L196" s="6">
        <v>4</v>
      </c>
    </row>
    <row r="197" spans="12:12" x14ac:dyDescent="0.2">
      <c r="L197" s="6">
        <v>4</v>
      </c>
    </row>
    <row r="198" spans="12:12" x14ac:dyDescent="0.2">
      <c r="L198" s="6">
        <v>4</v>
      </c>
    </row>
    <row r="199" spans="12:12" x14ac:dyDescent="0.2">
      <c r="L199" s="6">
        <v>4</v>
      </c>
    </row>
    <row r="200" spans="12:12" x14ac:dyDescent="0.2">
      <c r="L200" s="6">
        <v>4</v>
      </c>
    </row>
    <row r="201" spans="12:12" x14ac:dyDescent="0.2">
      <c r="L201" s="6">
        <v>4</v>
      </c>
    </row>
    <row r="202" spans="12:12" x14ac:dyDescent="0.2">
      <c r="L202" s="6">
        <v>4</v>
      </c>
    </row>
    <row r="203" spans="12:12" x14ac:dyDescent="0.2">
      <c r="L203" s="6">
        <v>4</v>
      </c>
    </row>
    <row r="204" spans="12:12" x14ac:dyDescent="0.2">
      <c r="L204" s="6">
        <v>4</v>
      </c>
    </row>
    <row r="205" spans="12:12" x14ac:dyDescent="0.2">
      <c r="L205" s="6">
        <v>4</v>
      </c>
    </row>
    <row r="206" spans="12:12" x14ac:dyDescent="0.2">
      <c r="L206" s="6">
        <v>4</v>
      </c>
    </row>
    <row r="207" spans="12:12" x14ac:dyDescent="0.2">
      <c r="L207" s="6">
        <v>4</v>
      </c>
    </row>
    <row r="208" spans="12:12" x14ac:dyDescent="0.2">
      <c r="L208" s="6">
        <v>4</v>
      </c>
    </row>
    <row r="209" spans="12:12" x14ac:dyDescent="0.2">
      <c r="L209" s="6">
        <v>4</v>
      </c>
    </row>
    <row r="210" spans="12:12" x14ac:dyDescent="0.2">
      <c r="L210" s="6">
        <v>4</v>
      </c>
    </row>
    <row r="211" spans="12:12" x14ac:dyDescent="0.2">
      <c r="L211" s="6">
        <v>4</v>
      </c>
    </row>
    <row r="212" spans="12:12" x14ac:dyDescent="0.2">
      <c r="L212" s="6">
        <v>4</v>
      </c>
    </row>
    <row r="213" spans="12:12" x14ac:dyDescent="0.2">
      <c r="L213" s="6">
        <v>4</v>
      </c>
    </row>
    <row r="214" spans="12:12" x14ac:dyDescent="0.2">
      <c r="L214" s="6">
        <v>4</v>
      </c>
    </row>
    <row r="215" spans="12:12" x14ac:dyDescent="0.2">
      <c r="L215" s="6">
        <v>4</v>
      </c>
    </row>
    <row r="216" spans="12:12" x14ac:dyDescent="0.2">
      <c r="L216" s="6">
        <v>4</v>
      </c>
    </row>
    <row r="217" spans="12:12" x14ac:dyDescent="0.2">
      <c r="L217" s="6">
        <v>4</v>
      </c>
    </row>
    <row r="218" spans="12:12" x14ac:dyDescent="0.2">
      <c r="L218" s="6">
        <v>4</v>
      </c>
    </row>
    <row r="219" spans="12:12" x14ac:dyDescent="0.2">
      <c r="L219" s="6">
        <v>4</v>
      </c>
    </row>
    <row r="220" spans="12:12" x14ac:dyDescent="0.2">
      <c r="L220" s="6">
        <v>4</v>
      </c>
    </row>
    <row r="221" spans="12:12" x14ac:dyDescent="0.2">
      <c r="L221" s="6">
        <v>5</v>
      </c>
    </row>
    <row r="222" spans="12:12" x14ac:dyDescent="0.2">
      <c r="L222" s="6">
        <v>5</v>
      </c>
    </row>
    <row r="223" spans="12:12" x14ac:dyDescent="0.2">
      <c r="L223" s="6">
        <v>5</v>
      </c>
    </row>
    <row r="224" spans="12:12" x14ac:dyDescent="0.2">
      <c r="L224" s="6">
        <v>5</v>
      </c>
    </row>
    <row r="225" spans="12:12" x14ac:dyDescent="0.2">
      <c r="L225" s="6">
        <v>5</v>
      </c>
    </row>
    <row r="226" spans="12:12" x14ac:dyDescent="0.2">
      <c r="L226" s="6">
        <v>5</v>
      </c>
    </row>
    <row r="227" spans="12:12" x14ac:dyDescent="0.2">
      <c r="L227" s="6">
        <v>5</v>
      </c>
    </row>
    <row r="228" spans="12:12" x14ac:dyDescent="0.2">
      <c r="L228" s="6">
        <v>5</v>
      </c>
    </row>
    <row r="229" spans="12:12" x14ac:dyDescent="0.2">
      <c r="L229" s="6">
        <v>5</v>
      </c>
    </row>
    <row r="230" spans="12:12" x14ac:dyDescent="0.2">
      <c r="L230" s="6">
        <v>5</v>
      </c>
    </row>
    <row r="231" spans="12:12" x14ac:dyDescent="0.2">
      <c r="L231" s="6">
        <v>5</v>
      </c>
    </row>
    <row r="232" spans="12:12" x14ac:dyDescent="0.2">
      <c r="L232" s="6">
        <v>5</v>
      </c>
    </row>
    <row r="233" spans="12:12" x14ac:dyDescent="0.2">
      <c r="L233" s="6">
        <v>5</v>
      </c>
    </row>
    <row r="234" spans="12:12" x14ac:dyDescent="0.2">
      <c r="L234" s="6">
        <v>5</v>
      </c>
    </row>
    <row r="235" spans="12:12" x14ac:dyDescent="0.2">
      <c r="L235" s="6">
        <v>5</v>
      </c>
    </row>
    <row r="236" spans="12:12" x14ac:dyDescent="0.2">
      <c r="L236" s="6">
        <v>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95A4-4D62-4426-8ECC-927256A34999}">
  <dimension ref="A1:K236"/>
  <sheetViews>
    <sheetView workbookViewId="0">
      <selection activeCell="D10" sqref="D10"/>
    </sheetView>
  </sheetViews>
  <sheetFormatPr baseColWidth="10" defaultRowHeight="12.75" x14ac:dyDescent="0.2"/>
  <cols>
    <col min="1" max="1" width="37.42578125" bestFit="1" customWidth="1"/>
    <col min="2" max="2" width="28" bestFit="1" customWidth="1"/>
    <col min="3" max="3" width="21.5703125" bestFit="1" customWidth="1"/>
    <col min="4" max="4" width="38" bestFit="1" customWidth="1"/>
    <col min="7" max="7" width="18.85546875" bestFit="1" customWidth="1"/>
  </cols>
  <sheetData>
    <row r="1" spans="1:11" x14ac:dyDescent="0.2">
      <c r="A1" s="6" t="s">
        <v>431</v>
      </c>
      <c r="B1" s="6" t="s">
        <v>432</v>
      </c>
      <c r="C1" s="6" t="s">
        <v>438</v>
      </c>
      <c r="D1" s="6" t="s">
        <v>437</v>
      </c>
      <c r="G1" s="8" t="s">
        <v>434</v>
      </c>
    </row>
    <row r="2" spans="1:11" x14ac:dyDescent="0.2">
      <c r="A2" s="6">
        <v>1</v>
      </c>
      <c r="B2" s="6">
        <v>20</v>
      </c>
      <c r="C2" s="6">
        <f t="shared" ref="C2:C6" si="0" xml:space="preserve"> A2*B2</f>
        <v>20</v>
      </c>
      <c r="D2" s="13">
        <f t="shared" ref="D2:D7" si="1">B2/$B$7*100</f>
        <v>8.5106382978723403</v>
      </c>
      <c r="G2" s="8">
        <f>SUM(C2:C6)</f>
        <v>768</v>
      </c>
      <c r="K2" s="6">
        <v>1</v>
      </c>
    </row>
    <row r="3" spans="1:11" x14ac:dyDescent="0.2">
      <c r="A3" s="6">
        <v>2</v>
      </c>
      <c r="B3" s="6">
        <v>38</v>
      </c>
      <c r="C3" s="6">
        <f t="shared" si="0"/>
        <v>76</v>
      </c>
      <c r="D3" s="13">
        <f t="shared" si="1"/>
        <v>16.170212765957448</v>
      </c>
      <c r="F3" s="7" t="s">
        <v>435</v>
      </c>
      <c r="G3" s="7">
        <f>G2/235</f>
        <v>3.2680851063829786</v>
      </c>
      <c r="K3" s="6">
        <v>1</v>
      </c>
    </row>
    <row r="4" spans="1:11" x14ac:dyDescent="0.2">
      <c r="A4" s="6">
        <v>3</v>
      </c>
      <c r="B4" s="6">
        <v>73</v>
      </c>
      <c r="C4" s="6">
        <f t="shared" si="0"/>
        <v>219</v>
      </c>
      <c r="D4" s="13">
        <f t="shared" si="1"/>
        <v>31.063829787234042</v>
      </c>
      <c r="K4" s="6">
        <v>1</v>
      </c>
    </row>
    <row r="5" spans="1:11" x14ac:dyDescent="0.2">
      <c r="A5" s="6">
        <v>4</v>
      </c>
      <c r="B5" s="6">
        <v>67</v>
      </c>
      <c r="C5" s="6">
        <f t="shared" si="0"/>
        <v>268</v>
      </c>
      <c r="D5" s="13">
        <f t="shared" si="1"/>
        <v>28.510638297872344</v>
      </c>
      <c r="K5" s="6">
        <v>1</v>
      </c>
    </row>
    <row r="6" spans="1:11" x14ac:dyDescent="0.2">
      <c r="A6" s="6">
        <v>5</v>
      </c>
      <c r="B6" s="6">
        <v>37</v>
      </c>
      <c r="C6" s="6">
        <f t="shared" si="0"/>
        <v>185</v>
      </c>
      <c r="D6" s="13">
        <f t="shared" si="1"/>
        <v>15.74468085106383</v>
      </c>
      <c r="K6" s="6">
        <v>1</v>
      </c>
    </row>
    <row r="7" spans="1:11" x14ac:dyDescent="0.2">
      <c r="A7" t="s">
        <v>433</v>
      </c>
      <c r="B7" s="5">
        <f xml:space="preserve"> SUM(B2:B6)</f>
        <v>235</v>
      </c>
      <c r="C7" s="6"/>
      <c r="D7" s="6">
        <f t="shared" si="1"/>
        <v>100</v>
      </c>
      <c r="K7" s="6">
        <v>1</v>
      </c>
    </row>
    <row r="8" spans="1:11" x14ac:dyDescent="0.2">
      <c r="G8" s="21" t="s">
        <v>470</v>
      </c>
      <c r="I8" s="6"/>
      <c r="K8" s="6">
        <v>1</v>
      </c>
    </row>
    <row r="9" spans="1:11" x14ac:dyDescent="0.2">
      <c r="G9" s="6">
        <f>MODE(K2:K236)</f>
        <v>3</v>
      </c>
      <c r="I9" s="21" t="s">
        <v>472</v>
      </c>
      <c r="K9" s="6">
        <v>1</v>
      </c>
    </row>
    <row r="10" spans="1:11" x14ac:dyDescent="0.2">
      <c r="I10" s="6">
        <f>MAX(K2:K236)-MIN(K2:K236)</f>
        <v>4</v>
      </c>
      <c r="K10" s="6">
        <v>1</v>
      </c>
    </row>
    <row r="11" spans="1:11" x14ac:dyDescent="0.2">
      <c r="A11" s="7" t="s">
        <v>436</v>
      </c>
      <c r="B11" s="22" t="s">
        <v>468</v>
      </c>
      <c r="G11" s="21" t="s">
        <v>469</v>
      </c>
      <c r="K11" s="6">
        <v>1</v>
      </c>
    </row>
    <row r="12" spans="1:11" x14ac:dyDescent="0.2">
      <c r="A12" s="14" cm="1">
        <f t="array" ref="A12">SQRT(SUMPRODUCT(B2:B6,(A2:A6-$G$3)^2)/(SUM(B2:B6)-1))</f>
        <v>1.1622823080758482</v>
      </c>
      <c r="B12" s="13">
        <f>G2/B7</f>
        <v>3.2680851063829786</v>
      </c>
      <c r="G12" s="6">
        <f>MEDIAN(K2:K236)</f>
        <v>3</v>
      </c>
      <c r="K12" s="6">
        <v>1</v>
      </c>
    </row>
    <row r="13" spans="1:11" x14ac:dyDescent="0.2">
      <c r="B13" s="22" t="s">
        <v>473</v>
      </c>
      <c r="G13" s="21" t="s">
        <v>471</v>
      </c>
      <c r="K13" s="6">
        <v>1</v>
      </c>
    </row>
    <row r="14" spans="1:11" x14ac:dyDescent="0.2">
      <c r="B14" s="23">
        <f>(A12/B12)*100</f>
        <v>35.56462791638338</v>
      </c>
      <c r="G14" s="6">
        <f>_xlfn.VAR.S(K2:K236)</f>
        <v>1.3509001636661211</v>
      </c>
      <c r="K14" s="6">
        <v>1</v>
      </c>
    </row>
    <row r="15" spans="1:11" x14ac:dyDescent="0.2">
      <c r="K15" s="6">
        <v>1</v>
      </c>
    </row>
    <row r="16" spans="1:11" x14ac:dyDescent="0.2">
      <c r="K16" s="6">
        <v>1</v>
      </c>
    </row>
    <row r="17" spans="11:11" x14ac:dyDescent="0.2">
      <c r="K17" s="6">
        <v>1</v>
      </c>
    </row>
    <row r="18" spans="11:11" x14ac:dyDescent="0.2">
      <c r="K18" s="6">
        <v>1</v>
      </c>
    </row>
    <row r="19" spans="11:11" x14ac:dyDescent="0.2">
      <c r="K19" s="6">
        <v>1</v>
      </c>
    </row>
    <row r="20" spans="11:11" x14ac:dyDescent="0.2">
      <c r="K20" s="6">
        <v>1</v>
      </c>
    </row>
    <row r="21" spans="11:11" x14ac:dyDescent="0.2">
      <c r="K21" s="6">
        <v>1</v>
      </c>
    </row>
    <row r="22" spans="11:11" x14ac:dyDescent="0.2">
      <c r="K22" s="6">
        <v>2</v>
      </c>
    </row>
    <row r="23" spans="11:11" x14ac:dyDescent="0.2">
      <c r="K23" s="6">
        <v>2</v>
      </c>
    </row>
    <row r="24" spans="11:11" x14ac:dyDescent="0.2">
      <c r="K24" s="6">
        <v>2</v>
      </c>
    </row>
    <row r="25" spans="11:11" x14ac:dyDescent="0.2">
      <c r="K25" s="6">
        <v>2</v>
      </c>
    </row>
    <row r="26" spans="11:11" x14ac:dyDescent="0.2">
      <c r="K26" s="6">
        <v>2</v>
      </c>
    </row>
    <row r="27" spans="11:11" x14ac:dyDescent="0.2">
      <c r="K27" s="6">
        <v>2</v>
      </c>
    </row>
    <row r="28" spans="11:11" x14ac:dyDescent="0.2">
      <c r="K28" s="6">
        <v>2</v>
      </c>
    </row>
    <row r="29" spans="11:11" x14ac:dyDescent="0.2">
      <c r="K29" s="6">
        <v>2</v>
      </c>
    </row>
    <row r="30" spans="11:11" x14ac:dyDescent="0.2">
      <c r="K30" s="6">
        <v>2</v>
      </c>
    </row>
    <row r="31" spans="11:11" x14ac:dyDescent="0.2">
      <c r="K31" s="6">
        <v>2</v>
      </c>
    </row>
    <row r="32" spans="11:11" x14ac:dyDescent="0.2">
      <c r="K32" s="6">
        <v>2</v>
      </c>
    </row>
    <row r="33" spans="11:11" x14ac:dyDescent="0.2">
      <c r="K33" s="6">
        <v>2</v>
      </c>
    </row>
    <row r="34" spans="11:11" x14ac:dyDescent="0.2">
      <c r="K34" s="6">
        <v>2</v>
      </c>
    </row>
    <row r="35" spans="11:11" x14ac:dyDescent="0.2">
      <c r="K35" s="6">
        <v>2</v>
      </c>
    </row>
    <row r="36" spans="11:11" x14ac:dyDescent="0.2">
      <c r="K36" s="6">
        <v>2</v>
      </c>
    </row>
    <row r="37" spans="11:11" x14ac:dyDescent="0.2">
      <c r="K37" s="6">
        <v>2</v>
      </c>
    </row>
    <row r="38" spans="11:11" x14ac:dyDescent="0.2">
      <c r="K38" s="6">
        <v>2</v>
      </c>
    </row>
    <row r="39" spans="11:11" x14ac:dyDescent="0.2">
      <c r="K39" s="6">
        <v>2</v>
      </c>
    </row>
    <row r="40" spans="11:11" x14ac:dyDescent="0.2">
      <c r="K40" s="6">
        <v>2</v>
      </c>
    </row>
    <row r="41" spans="11:11" x14ac:dyDescent="0.2">
      <c r="K41" s="6">
        <v>2</v>
      </c>
    </row>
    <row r="42" spans="11:11" x14ac:dyDescent="0.2">
      <c r="K42" s="6">
        <v>2</v>
      </c>
    </row>
    <row r="43" spans="11:11" x14ac:dyDescent="0.2">
      <c r="K43" s="6">
        <v>2</v>
      </c>
    </row>
    <row r="44" spans="11:11" x14ac:dyDescent="0.2">
      <c r="K44" s="6">
        <v>2</v>
      </c>
    </row>
    <row r="45" spans="11:11" x14ac:dyDescent="0.2">
      <c r="K45" s="6">
        <v>2</v>
      </c>
    </row>
    <row r="46" spans="11:11" x14ac:dyDescent="0.2">
      <c r="K46" s="6">
        <v>2</v>
      </c>
    </row>
    <row r="47" spans="11:11" x14ac:dyDescent="0.2">
      <c r="K47" s="6">
        <v>2</v>
      </c>
    </row>
    <row r="48" spans="11:11" x14ac:dyDescent="0.2">
      <c r="K48" s="6">
        <v>2</v>
      </c>
    </row>
    <row r="49" spans="11:11" x14ac:dyDescent="0.2">
      <c r="K49" s="6">
        <v>2</v>
      </c>
    </row>
    <row r="50" spans="11:11" x14ac:dyDescent="0.2">
      <c r="K50" s="6">
        <v>2</v>
      </c>
    </row>
    <row r="51" spans="11:11" x14ac:dyDescent="0.2">
      <c r="K51" s="6">
        <v>2</v>
      </c>
    </row>
    <row r="52" spans="11:11" x14ac:dyDescent="0.2">
      <c r="K52" s="6">
        <v>2</v>
      </c>
    </row>
    <row r="53" spans="11:11" x14ac:dyDescent="0.2">
      <c r="K53" s="6">
        <v>2</v>
      </c>
    </row>
    <row r="54" spans="11:11" x14ac:dyDescent="0.2">
      <c r="K54" s="6">
        <v>2</v>
      </c>
    </row>
    <row r="55" spans="11:11" x14ac:dyDescent="0.2">
      <c r="K55" s="6">
        <v>2</v>
      </c>
    </row>
    <row r="56" spans="11:11" x14ac:dyDescent="0.2">
      <c r="K56" s="6">
        <v>2</v>
      </c>
    </row>
    <row r="57" spans="11:11" x14ac:dyDescent="0.2">
      <c r="K57" s="6">
        <v>2</v>
      </c>
    </row>
    <row r="58" spans="11:11" x14ac:dyDescent="0.2">
      <c r="K58" s="6">
        <v>2</v>
      </c>
    </row>
    <row r="59" spans="11:11" x14ac:dyDescent="0.2">
      <c r="K59" s="6">
        <v>2</v>
      </c>
    </row>
    <row r="60" spans="11:11" x14ac:dyDescent="0.2">
      <c r="K60" s="6">
        <v>3</v>
      </c>
    </row>
    <row r="61" spans="11:11" x14ac:dyDescent="0.2">
      <c r="K61" s="6">
        <v>3</v>
      </c>
    </row>
    <row r="62" spans="11:11" x14ac:dyDescent="0.2">
      <c r="K62" s="6">
        <v>3</v>
      </c>
    </row>
    <row r="63" spans="11:11" x14ac:dyDescent="0.2">
      <c r="K63" s="6">
        <v>3</v>
      </c>
    </row>
    <row r="64" spans="11:11" x14ac:dyDescent="0.2">
      <c r="K64" s="6">
        <v>3</v>
      </c>
    </row>
    <row r="65" spans="11:11" x14ac:dyDescent="0.2">
      <c r="K65" s="6">
        <v>3</v>
      </c>
    </row>
    <row r="66" spans="11:11" x14ac:dyDescent="0.2">
      <c r="K66" s="6">
        <v>3</v>
      </c>
    </row>
    <row r="67" spans="11:11" x14ac:dyDescent="0.2">
      <c r="K67" s="6">
        <v>3</v>
      </c>
    </row>
    <row r="68" spans="11:11" x14ac:dyDescent="0.2">
      <c r="K68" s="6">
        <v>3</v>
      </c>
    </row>
    <row r="69" spans="11:11" x14ac:dyDescent="0.2">
      <c r="K69" s="6">
        <v>3</v>
      </c>
    </row>
    <row r="70" spans="11:11" x14ac:dyDescent="0.2">
      <c r="K70" s="6">
        <v>3</v>
      </c>
    </row>
    <row r="71" spans="11:11" x14ac:dyDescent="0.2">
      <c r="K71" s="6">
        <v>3</v>
      </c>
    </row>
    <row r="72" spans="11:11" x14ac:dyDescent="0.2">
      <c r="K72" s="6">
        <v>3</v>
      </c>
    </row>
    <row r="73" spans="11:11" x14ac:dyDescent="0.2">
      <c r="K73" s="6">
        <v>3</v>
      </c>
    </row>
    <row r="74" spans="11:11" x14ac:dyDescent="0.2">
      <c r="K74" s="6">
        <v>3</v>
      </c>
    </row>
    <row r="75" spans="11:11" x14ac:dyDescent="0.2">
      <c r="K75" s="6">
        <v>3</v>
      </c>
    </row>
    <row r="76" spans="11:11" x14ac:dyDescent="0.2">
      <c r="K76" s="6">
        <v>3</v>
      </c>
    </row>
    <row r="77" spans="11:11" x14ac:dyDescent="0.2">
      <c r="K77" s="6">
        <v>3</v>
      </c>
    </row>
    <row r="78" spans="11:11" x14ac:dyDescent="0.2">
      <c r="K78" s="6">
        <v>3</v>
      </c>
    </row>
    <row r="79" spans="11:11" x14ac:dyDescent="0.2">
      <c r="K79" s="6">
        <v>3</v>
      </c>
    </row>
    <row r="80" spans="11:11" x14ac:dyDescent="0.2">
      <c r="K80" s="6">
        <v>3</v>
      </c>
    </row>
    <row r="81" spans="11:11" x14ac:dyDescent="0.2">
      <c r="K81" s="6">
        <v>3</v>
      </c>
    </row>
    <row r="82" spans="11:11" x14ac:dyDescent="0.2">
      <c r="K82" s="6">
        <v>3</v>
      </c>
    </row>
    <row r="83" spans="11:11" x14ac:dyDescent="0.2">
      <c r="K83" s="6">
        <v>3</v>
      </c>
    </row>
    <row r="84" spans="11:11" x14ac:dyDescent="0.2">
      <c r="K84" s="6">
        <v>3</v>
      </c>
    </row>
    <row r="85" spans="11:11" x14ac:dyDescent="0.2">
      <c r="K85" s="6">
        <v>3</v>
      </c>
    </row>
    <row r="86" spans="11:11" x14ac:dyDescent="0.2">
      <c r="K86" s="6">
        <v>3</v>
      </c>
    </row>
    <row r="87" spans="11:11" x14ac:dyDescent="0.2">
      <c r="K87" s="6">
        <v>3</v>
      </c>
    </row>
    <row r="88" spans="11:11" x14ac:dyDescent="0.2">
      <c r="K88" s="6">
        <v>3</v>
      </c>
    </row>
    <row r="89" spans="11:11" x14ac:dyDescent="0.2">
      <c r="K89" s="6">
        <v>3</v>
      </c>
    </row>
    <row r="90" spans="11:11" x14ac:dyDescent="0.2">
      <c r="K90" s="6">
        <v>3</v>
      </c>
    </row>
    <row r="91" spans="11:11" x14ac:dyDescent="0.2">
      <c r="K91" s="6">
        <v>3</v>
      </c>
    </row>
    <row r="92" spans="11:11" x14ac:dyDescent="0.2">
      <c r="K92" s="6">
        <v>3</v>
      </c>
    </row>
    <row r="93" spans="11:11" x14ac:dyDescent="0.2">
      <c r="K93" s="6">
        <v>3</v>
      </c>
    </row>
    <row r="94" spans="11:11" x14ac:dyDescent="0.2">
      <c r="K94" s="6">
        <v>3</v>
      </c>
    </row>
    <row r="95" spans="11:11" x14ac:dyDescent="0.2">
      <c r="K95" s="6">
        <v>3</v>
      </c>
    </row>
    <row r="96" spans="11:11" x14ac:dyDescent="0.2">
      <c r="K96" s="6">
        <v>3</v>
      </c>
    </row>
    <row r="97" spans="11:11" x14ac:dyDescent="0.2">
      <c r="K97" s="6">
        <v>3</v>
      </c>
    </row>
    <row r="98" spans="11:11" x14ac:dyDescent="0.2">
      <c r="K98" s="6">
        <v>3</v>
      </c>
    </row>
    <row r="99" spans="11:11" x14ac:dyDescent="0.2">
      <c r="K99" s="6">
        <v>3</v>
      </c>
    </row>
    <row r="100" spans="11:11" x14ac:dyDescent="0.2">
      <c r="K100" s="6">
        <v>3</v>
      </c>
    </row>
    <row r="101" spans="11:11" x14ac:dyDescent="0.2">
      <c r="K101" s="6">
        <v>3</v>
      </c>
    </row>
    <row r="102" spans="11:11" x14ac:dyDescent="0.2">
      <c r="K102" s="6">
        <v>3</v>
      </c>
    </row>
    <row r="103" spans="11:11" x14ac:dyDescent="0.2">
      <c r="K103" s="6">
        <v>3</v>
      </c>
    </row>
    <row r="104" spans="11:11" x14ac:dyDescent="0.2">
      <c r="K104" s="6">
        <v>3</v>
      </c>
    </row>
    <row r="105" spans="11:11" x14ac:dyDescent="0.2">
      <c r="K105" s="6">
        <v>3</v>
      </c>
    </row>
    <row r="106" spans="11:11" x14ac:dyDescent="0.2">
      <c r="K106" s="6">
        <v>3</v>
      </c>
    </row>
    <row r="107" spans="11:11" x14ac:dyDescent="0.2">
      <c r="K107" s="6">
        <v>3</v>
      </c>
    </row>
    <row r="108" spans="11:11" x14ac:dyDescent="0.2">
      <c r="K108" s="6">
        <v>3</v>
      </c>
    </row>
    <row r="109" spans="11:11" x14ac:dyDescent="0.2">
      <c r="K109" s="6">
        <v>3</v>
      </c>
    </row>
    <row r="110" spans="11:11" x14ac:dyDescent="0.2">
      <c r="K110" s="6">
        <v>3</v>
      </c>
    </row>
    <row r="111" spans="11:11" x14ac:dyDescent="0.2">
      <c r="K111" s="6">
        <v>3</v>
      </c>
    </row>
    <row r="112" spans="11:11" x14ac:dyDescent="0.2">
      <c r="K112" s="6">
        <v>3</v>
      </c>
    </row>
    <row r="113" spans="11:11" x14ac:dyDescent="0.2">
      <c r="K113" s="6">
        <v>3</v>
      </c>
    </row>
    <row r="114" spans="11:11" x14ac:dyDescent="0.2">
      <c r="K114" s="6">
        <v>3</v>
      </c>
    </row>
    <row r="115" spans="11:11" x14ac:dyDescent="0.2">
      <c r="K115" s="6">
        <v>3</v>
      </c>
    </row>
    <row r="116" spans="11:11" x14ac:dyDescent="0.2">
      <c r="K116" s="6">
        <v>3</v>
      </c>
    </row>
    <row r="117" spans="11:11" x14ac:dyDescent="0.2">
      <c r="K117" s="6">
        <v>3</v>
      </c>
    </row>
    <row r="118" spans="11:11" x14ac:dyDescent="0.2">
      <c r="K118" s="6">
        <v>3</v>
      </c>
    </row>
    <row r="119" spans="11:11" x14ac:dyDescent="0.2">
      <c r="K119" s="6">
        <v>3</v>
      </c>
    </row>
    <row r="120" spans="11:11" x14ac:dyDescent="0.2">
      <c r="K120" s="6">
        <v>3</v>
      </c>
    </row>
    <row r="121" spans="11:11" x14ac:dyDescent="0.2">
      <c r="K121" s="6">
        <v>3</v>
      </c>
    </row>
    <row r="122" spans="11:11" x14ac:dyDescent="0.2">
      <c r="K122" s="6">
        <v>3</v>
      </c>
    </row>
    <row r="123" spans="11:11" x14ac:dyDescent="0.2">
      <c r="K123" s="6">
        <v>3</v>
      </c>
    </row>
    <row r="124" spans="11:11" x14ac:dyDescent="0.2">
      <c r="K124" s="6">
        <v>3</v>
      </c>
    </row>
    <row r="125" spans="11:11" x14ac:dyDescent="0.2">
      <c r="K125" s="6">
        <v>3</v>
      </c>
    </row>
    <row r="126" spans="11:11" x14ac:dyDescent="0.2">
      <c r="K126" s="6">
        <v>3</v>
      </c>
    </row>
    <row r="127" spans="11:11" x14ac:dyDescent="0.2">
      <c r="K127" s="6">
        <v>3</v>
      </c>
    </row>
    <row r="128" spans="11:11" x14ac:dyDescent="0.2">
      <c r="K128" s="6">
        <v>3</v>
      </c>
    </row>
    <row r="129" spans="11:11" x14ac:dyDescent="0.2">
      <c r="K129" s="6">
        <v>3</v>
      </c>
    </row>
    <row r="130" spans="11:11" x14ac:dyDescent="0.2">
      <c r="K130" s="6">
        <v>3</v>
      </c>
    </row>
    <row r="131" spans="11:11" x14ac:dyDescent="0.2">
      <c r="K131" s="6">
        <v>3</v>
      </c>
    </row>
    <row r="132" spans="11:11" x14ac:dyDescent="0.2">
      <c r="K132" s="6">
        <v>3</v>
      </c>
    </row>
    <row r="133" spans="11:11" x14ac:dyDescent="0.2">
      <c r="K133" s="6">
        <v>4</v>
      </c>
    </row>
    <row r="134" spans="11:11" x14ac:dyDescent="0.2">
      <c r="K134" s="6">
        <v>4</v>
      </c>
    </row>
    <row r="135" spans="11:11" x14ac:dyDescent="0.2">
      <c r="K135" s="6">
        <v>4</v>
      </c>
    </row>
    <row r="136" spans="11:11" x14ac:dyDescent="0.2">
      <c r="K136" s="6">
        <v>4</v>
      </c>
    </row>
    <row r="137" spans="11:11" x14ac:dyDescent="0.2">
      <c r="K137" s="6">
        <v>4</v>
      </c>
    </row>
    <row r="138" spans="11:11" x14ac:dyDescent="0.2">
      <c r="K138" s="6">
        <v>4</v>
      </c>
    </row>
    <row r="139" spans="11:11" x14ac:dyDescent="0.2">
      <c r="K139" s="6">
        <v>4</v>
      </c>
    </row>
    <row r="140" spans="11:11" x14ac:dyDescent="0.2">
      <c r="K140" s="6">
        <v>4</v>
      </c>
    </row>
    <row r="141" spans="11:11" x14ac:dyDescent="0.2">
      <c r="K141" s="6">
        <v>4</v>
      </c>
    </row>
    <row r="142" spans="11:11" x14ac:dyDescent="0.2">
      <c r="K142" s="6">
        <v>4</v>
      </c>
    </row>
    <row r="143" spans="11:11" x14ac:dyDescent="0.2">
      <c r="K143" s="6">
        <v>4</v>
      </c>
    </row>
    <row r="144" spans="11:11" x14ac:dyDescent="0.2">
      <c r="K144" s="6">
        <v>4</v>
      </c>
    </row>
    <row r="145" spans="11:11" x14ac:dyDescent="0.2">
      <c r="K145" s="6">
        <v>4</v>
      </c>
    </row>
    <row r="146" spans="11:11" x14ac:dyDescent="0.2">
      <c r="K146" s="6">
        <v>4</v>
      </c>
    </row>
    <row r="147" spans="11:11" x14ac:dyDescent="0.2">
      <c r="K147" s="6">
        <v>4</v>
      </c>
    </row>
    <row r="148" spans="11:11" x14ac:dyDescent="0.2">
      <c r="K148" s="6">
        <v>4</v>
      </c>
    </row>
    <row r="149" spans="11:11" x14ac:dyDescent="0.2">
      <c r="K149" s="6">
        <v>4</v>
      </c>
    </row>
    <row r="150" spans="11:11" x14ac:dyDescent="0.2">
      <c r="K150" s="6">
        <v>4</v>
      </c>
    </row>
    <row r="151" spans="11:11" x14ac:dyDescent="0.2">
      <c r="K151" s="6">
        <v>4</v>
      </c>
    </row>
    <row r="152" spans="11:11" x14ac:dyDescent="0.2">
      <c r="K152" s="6">
        <v>4</v>
      </c>
    </row>
    <row r="153" spans="11:11" x14ac:dyDescent="0.2">
      <c r="K153" s="6">
        <v>4</v>
      </c>
    </row>
    <row r="154" spans="11:11" x14ac:dyDescent="0.2">
      <c r="K154" s="6">
        <v>4</v>
      </c>
    </row>
    <row r="155" spans="11:11" x14ac:dyDescent="0.2">
      <c r="K155" s="6">
        <v>4</v>
      </c>
    </row>
    <row r="156" spans="11:11" x14ac:dyDescent="0.2">
      <c r="K156" s="6">
        <v>4</v>
      </c>
    </row>
    <row r="157" spans="11:11" x14ac:dyDescent="0.2">
      <c r="K157" s="6">
        <v>4</v>
      </c>
    </row>
    <row r="158" spans="11:11" x14ac:dyDescent="0.2">
      <c r="K158" s="6">
        <v>4</v>
      </c>
    </row>
    <row r="159" spans="11:11" x14ac:dyDescent="0.2">
      <c r="K159" s="6">
        <v>4</v>
      </c>
    </row>
    <row r="160" spans="11:11" x14ac:dyDescent="0.2">
      <c r="K160" s="6">
        <v>4</v>
      </c>
    </row>
    <row r="161" spans="11:11" x14ac:dyDescent="0.2">
      <c r="K161" s="6">
        <v>4</v>
      </c>
    </row>
    <row r="162" spans="11:11" x14ac:dyDescent="0.2">
      <c r="K162" s="6">
        <v>4</v>
      </c>
    </row>
    <row r="163" spans="11:11" x14ac:dyDescent="0.2">
      <c r="K163" s="6">
        <v>4</v>
      </c>
    </row>
    <row r="164" spans="11:11" x14ac:dyDescent="0.2">
      <c r="K164" s="6">
        <v>4</v>
      </c>
    </row>
    <row r="165" spans="11:11" x14ac:dyDescent="0.2">
      <c r="K165" s="6">
        <v>4</v>
      </c>
    </row>
    <row r="166" spans="11:11" x14ac:dyDescent="0.2">
      <c r="K166" s="6">
        <v>4</v>
      </c>
    </row>
    <row r="167" spans="11:11" x14ac:dyDescent="0.2">
      <c r="K167" s="6">
        <v>4</v>
      </c>
    </row>
    <row r="168" spans="11:11" x14ac:dyDescent="0.2">
      <c r="K168" s="6">
        <v>4</v>
      </c>
    </row>
    <row r="169" spans="11:11" x14ac:dyDescent="0.2">
      <c r="K169" s="6">
        <v>4</v>
      </c>
    </row>
    <row r="170" spans="11:11" x14ac:dyDescent="0.2">
      <c r="K170" s="6">
        <v>4</v>
      </c>
    </row>
    <row r="171" spans="11:11" x14ac:dyDescent="0.2">
      <c r="K171" s="6">
        <v>4</v>
      </c>
    </row>
    <row r="172" spans="11:11" x14ac:dyDescent="0.2">
      <c r="K172" s="6">
        <v>4</v>
      </c>
    </row>
    <row r="173" spans="11:11" x14ac:dyDescent="0.2">
      <c r="K173" s="6">
        <v>4</v>
      </c>
    </row>
    <row r="174" spans="11:11" x14ac:dyDescent="0.2">
      <c r="K174" s="6">
        <v>4</v>
      </c>
    </row>
    <row r="175" spans="11:11" x14ac:dyDescent="0.2">
      <c r="K175" s="6">
        <v>4</v>
      </c>
    </row>
    <row r="176" spans="11:11" x14ac:dyDescent="0.2">
      <c r="K176" s="6">
        <v>4</v>
      </c>
    </row>
    <row r="177" spans="11:11" x14ac:dyDescent="0.2">
      <c r="K177" s="6">
        <v>4</v>
      </c>
    </row>
    <row r="178" spans="11:11" x14ac:dyDescent="0.2">
      <c r="K178" s="6">
        <v>4</v>
      </c>
    </row>
    <row r="179" spans="11:11" x14ac:dyDescent="0.2">
      <c r="K179" s="6">
        <v>4</v>
      </c>
    </row>
    <row r="180" spans="11:11" x14ac:dyDescent="0.2">
      <c r="K180" s="6">
        <v>4</v>
      </c>
    </row>
    <row r="181" spans="11:11" x14ac:dyDescent="0.2">
      <c r="K181" s="6">
        <v>4</v>
      </c>
    </row>
    <row r="182" spans="11:11" x14ac:dyDescent="0.2">
      <c r="K182" s="6">
        <v>4</v>
      </c>
    </row>
    <row r="183" spans="11:11" x14ac:dyDescent="0.2">
      <c r="K183" s="6">
        <v>4</v>
      </c>
    </row>
    <row r="184" spans="11:11" x14ac:dyDescent="0.2">
      <c r="K184" s="6">
        <v>4</v>
      </c>
    </row>
    <row r="185" spans="11:11" x14ac:dyDescent="0.2">
      <c r="K185" s="6">
        <v>4</v>
      </c>
    </row>
    <row r="186" spans="11:11" x14ac:dyDescent="0.2">
      <c r="K186" s="6">
        <v>4</v>
      </c>
    </row>
    <row r="187" spans="11:11" x14ac:dyDescent="0.2">
      <c r="K187" s="6">
        <v>4</v>
      </c>
    </row>
    <row r="188" spans="11:11" x14ac:dyDescent="0.2">
      <c r="K188" s="6">
        <v>4</v>
      </c>
    </row>
    <row r="189" spans="11:11" x14ac:dyDescent="0.2">
      <c r="K189" s="6">
        <v>4</v>
      </c>
    </row>
    <row r="190" spans="11:11" x14ac:dyDescent="0.2">
      <c r="K190" s="6">
        <v>4</v>
      </c>
    </row>
    <row r="191" spans="11:11" x14ac:dyDescent="0.2">
      <c r="K191" s="6">
        <v>4</v>
      </c>
    </row>
    <row r="192" spans="11:11" x14ac:dyDescent="0.2">
      <c r="K192" s="6">
        <v>4</v>
      </c>
    </row>
    <row r="193" spans="11:11" x14ac:dyDescent="0.2">
      <c r="K193" s="6">
        <v>4</v>
      </c>
    </row>
    <row r="194" spans="11:11" x14ac:dyDescent="0.2">
      <c r="K194" s="6">
        <v>4</v>
      </c>
    </row>
    <row r="195" spans="11:11" x14ac:dyDescent="0.2">
      <c r="K195" s="6">
        <v>4</v>
      </c>
    </row>
    <row r="196" spans="11:11" x14ac:dyDescent="0.2">
      <c r="K196" s="6">
        <v>4</v>
      </c>
    </row>
    <row r="197" spans="11:11" x14ac:dyDescent="0.2">
      <c r="K197" s="6">
        <v>4</v>
      </c>
    </row>
    <row r="198" spans="11:11" x14ac:dyDescent="0.2">
      <c r="K198" s="6">
        <v>4</v>
      </c>
    </row>
    <row r="199" spans="11:11" x14ac:dyDescent="0.2">
      <c r="K199" s="6">
        <v>4</v>
      </c>
    </row>
    <row r="200" spans="11:11" x14ac:dyDescent="0.2">
      <c r="K200" s="6">
        <v>5</v>
      </c>
    </row>
    <row r="201" spans="11:11" x14ac:dyDescent="0.2">
      <c r="K201" s="6">
        <v>5</v>
      </c>
    </row>
    <row r="202" spans="11:11" x14ac:dyDescent="0.2">
      <c r="K202" s="6">
        <v>5</v>
      </c>
    </row>
    <row r="203" spans="11:11" x14ac:dyDescent="0.2">
      <c r="K203" s="6">
        <v>5</v>
      </c>
    </row>
    <row r="204" spans="11:11" x14ac:dyDescent="0.2">
      <c r="K204" s="6">
        <v>5</v>
      </c>
    </row>
    <row r="205" spans="11:11" x14ac:dyDescent="0.2">
      <c r="K205" s="6">
        <v>5</v>
      </c>
    </row>
    <row r="206" spans="11:11" x14ac:dyDescent="0.2">
      <c r="K206" s="6">
        <v>5</v>
      </c>
    </row>
    <row r="207" spans="11:11" x14ac:dyDescent="0.2">
      <c r="K207" s="6">
        <v>5</v>
      </c>
    </row>
    <row r="208" spans="11:11" x14ac:dyDescent="0.2">
      <c r="K208" s="6">
        <v>5</v>
      </c>
    </row>
    <row r="209" spans="11:11" x14ac:dyDescent="0.2">
      <c r="K209" s="6">
        <v>5</v>
      </c>
    </row>
    <row r="210" spans="11:11" x14ac:dyDescent="0.2">
      <c r="K210" s="6">
        <v>5</v>
      </c>
    </row>
    <row r="211" spans="11:11" x14ac:dyDescent="0.2">
      <c r="K211" s="6">
        <v>5</v>
      </c>
    </row>
    <row r="212" spans="11:11" x14ac:dyDescent="0.2">
      <c r="K212" s="6">
        <v>5</v>
      </c>
    </row>
    <row r="213" spans="11:11" x14ac:dyDescent="0.2">
      <c r="K213" s="6">
        <v>5</v>
      </c>
    </row>
    <row r="214" spans="11:11" x14ac:dyDescent="0.2">
      <c r="K214" s="6">
        <v>5</v>
      </c>
    </row>
    <row r="215" spans="11:11" x14ac:dyDescent="0.2">
      <c r="K215" s="6">
        <v>5</v>
      </c>
    </row>
    <row r="216" spans="11:11" x14ac:dyDescent="0.2">
      <c r="K216" s="6">
        <v>5</v>
      </c>
    </row>
    <row r="217" spans="11:11" x14ac:dyDescent="0.2">
      <c r="K217" s="6">
        <v>5</v>
      </c>
    </row>
    <row r="218" spans="11:11" x14ac:dyDescent="0.2">
      <c r="K218" s="6">
        <v>5</v>
      </c>
    </row>
    <row r="219" spans="11:11" x14ac:dyDescent="0.2">
      <c r="K219" s="6">
        <v>5</v>
      </c>
    </row>
    <row r="220" spans="11:11" x14ac:dyDescent="0.2">
      <c r="K220" s="6">
        <v>5</v>
      </c>
    </row>
    <row r="221" spans="11:11" x14ac:dyDescent="0.2">
      <c r="K221" s="6">
        <v>5</v>
      </c>
    </row>
    <row r="222" spans="11:11" x14ac:dyDescent="0.2">
      <c r="K222" s="6">
        <v>5</v>
      </c>
    </row>
    <row r="223" spans="11:11" x14ac:dyDescent="0.2">
      <c r="K223" s="6">
        <v>5</v>
      </c>
    </row>
    <row r="224" spans="11:11" x14ac:dyDescent="0.2">
      <c r="K224" s="6">
        <v>5</v>
      </c>
    </row>
    <row r="225" spans="11:11" x14ac:dyDescent="0.2">
      <c r="K225" s="6">
        <v>5</v>
      </c>
    </row>
    <row r="226" spans="11:11" x14ac:dyDescent="0.2">
      <c r="K226" s="6">
        <v>5</v>
      </c>
    </row>
    <row r="227" spans="11:11" x14ac:dyDescent="0.2">
      <c r="K227" s="6">
        <v>5</v>
      </c>
    </row>
    <row r="228" spans="11:11" x14ac:dyDescent="0.2">
      <c r="K228" s="6">
        <v>5</v>
      </c>
    </row>
    <row r="229" spans="11:11" x14ac:dyDescent="0.2">
      <c r="K229" s="6">
        <v>5</v>
      </c>
    </row>
    <row r="230" spans="11:11" x14ac:dyDescent="0.2">
      <c r="K230" s="6">
        <v>5</v>
      </c>
    </row>
    <row r="231" spans="11:11" x14ac:dyDescent="0.2">
      <c r="K231" s="6">
        <v>5</v>
      </c>
    </row>
    <row r="232" spans="11:11" x14ac:dyDescent="0.2">
      <c r="K232" s="6">
        <v>5</v>
      </c>
    </row>
    <row r="233" spans="11:11" x14ac:dyDescent="0.2">
      <c r="K233" s="6">
        <v>5</v>
      </c>
    </row>
    <row r="234" spans="11:11" x14ac:dyDescent="0.2">
      <c r="K234" s="6">
        <v>5</v>
      </c>
    </row>
    <row r="235" spans="11:11" x14ac:dyDescent="0.2">
      <c r="K235" s="6">
        <v>5</v>
      </c>
    </row>
    <row r="236" spans="11:11" x14ac:dyDescent="0.2">
      <c r="K236" s="6">
        <v>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743D-D67A-4BBE-BF02-9BFB8A1B9231}">
  <dimension ref="A1:K236"/>
  <sheetViews>
    <sheetView workbookViewId="0">
      <selection activeCell="C15" sqref="C15"/>
    </sheetView>
  </sheetViews>
  <sheetFormatPr baseColWidth="10" defaultRowHeight="12.75" x14ac:dyDescent="0.2"/>
  <cols>
    <col min="1" max="1" width="37.42578125" bestFit="1" customWidth="1"/>
    <col min="2" max="2" width="28" bestFit="1" customWidth="1"/>
    <col min="3" max="3" width="21.5703125" bestFit="1" customWidth="1"/>
    <col min="4" max="4" width="38" bestFit="1" customWidth="1"/>
    <col min="6" max="6" width="19.5703125" bestFit="1" customWidth="1"/>
    <col min="7" max="7" width="18.85546875" bestFit="1" customWidth="1"/>
  </cols>
  <sheetData>
    <row r="1" spans="1:11" x14ac:dyDescent="0.2">
      <c r="A1" s="6" t="s">
        <v>431</v>
      </c>
      <c r="B1" s="6" t="s">
        <v>432</v>
      </c>
      <c r="C1" s="6" t="s">
        <v>438</v>
      </c>
      <c r="D1" s="6" t="s">
        <v>437</v>
      </c>
      <c r="G1" s="8" t="s">
        <v>434</v>
      </c>
    </row>
    <row r="2" spans="1:11" x14ac:dyDescent="0.2">
      <c r="A2" s="6">
        <v>1</v>
      </c>
      <c r="B2" s="6">
        <v>6</v>
      </c>
      <c r="C2" s="6">
        <f t="shared" ref="C2:C6" si="0" xml:space="preserve"> A2*B2</f>
        <v>6</v>
      </c>
      <c r="D2" s="13">
        <f t="shared" ref="D2:D7" si="1">B2/$B$7*100</f>
        <v>2.5531914893617018</v>
      </c>
      <c r="G2" s="8">
        <f>SUM(C2:C6)</f>
        <v>823</v>
      </c>
      <c r="K2" s="6">
        <v>1</v>
      </c>
    </row>
    <row r="3" spans="1:11" x14ac:dyDescent="0.2">
      <c r="A3" s="6">
        <v>2</v>
      </c>
      <c r="B3" s="6">
        <v>38</v>
      </c>
      <c r="C3" s="6">
        <f t="shared" si="0"/>
        <v>76</v>
      </c>
      <c r="D3" s="13">
        <f t="shared" si="1"/>
        <v>16.170212765957448</v>
      </c>
      <c r="F3" s="7" t="s">
        <v>445</v>
      </c>
      <c r="G3" s="7">
        <f>G2/235</f>
        <v>3.5021276595744681</v>
      </c>
      <c r="K3" s="6">
        <v>1</v>
      </c>
    </row>
    <row r="4" spans="1:11" x14ac:dyDescent="0.2">
      <c r="A4" s="6">
        <v>3</v>
      </c>
      <c r="B4" s="6">
        <v>70</v>
      </c>
      <c r="C4" s="6">
        <f t="shared" si="0"/>
        <v>210</v>
      </c>
      <c r="D4" s="13">
        <f t="shared" si="1"/>
        <v>29.787234042553191</v>
      </c>
      <c r="K4" s="6">
        <v>1</v>
      </c>
    </row>
    <row r="5" spans="1:11" x14ac:dyDescent="0.2">
      <c r="A5" s="6">
        <v>4</v>
      </c>
      <c r="B5" s="6">
        <v>74</v>
      </c>
      <c r="C5" s="6">
        <f t="shared" si="0"/>
        <v>296</v>
      </c>
      <c r="D5" s="13">
        <f t="shared" si="1"/>
        <v>31.48936170212766</v>
      </c>
      <c r="K5" s="6">
        <v>1</v>
      </c>
    </row>
    <row r="6" spans="1:11" x14ac:dyDescent="0.2">
      <c r="A6" s="6">
        <v>5</v>
      </c>
      <c r="B6" s="6">
        <v>47</v>
      </c>
      <c r="C6" s="6">
        <f t="shared" si="0"/>
        <v>235</v>
      </c>
      <c r="D6" s="6">
        <f t="shared" si="1"/>
        <v>20</v>
      </c>
      <c r="K6" s="6">
        <v>1</v>
      </c>
    </row>
    <row r="7" spans="1:11" x14ac:dyDescent="0.2">
      <c r="A7" t="s">
        <v>433</v>
      </c>
      <c r="B7" s="5">
        <f xml:space="preserve"> SUM(B2:B6)</f>
        <v>235</v>
      </c>
      <c r="C7" s="6"/>
      <c r="D7" s="6">
        <f t="shared" si="1"/>
        <v>100</v>
      </c>
      <c r="K7" s="6">
        <v>1</v>
      </c>
    </row>
    <row r="8" spans="1:11" x14ac:dyDescent="0.2">
      <c r="G8" s="21" t="s">
        <v>470</v>
      </c>
      <c r="I8" s="6"/>
      <c r="K8" s="6">
        <v>2</v>
      </c>
    </row>
    <row r="9" spans="1:11" x14ac:dyDescent="0.2">
      <c r="G9" s="6">
        <f>MODE(K2:K236)</f>
        <v>4</v>
      </c>
      <c r="I9" s="21" t="s">
        <v>472</v>
      </c>
      <c r="K9" s="6">
        <v>2</v>
      </c>
    </row>
    <row r="10" spans="1:11" x14ac:dyDescent="0.2">
      <c r="I10" s="6">
        <f>MAX(K2:K236)-MIN(K2:K236)</f>
        <v>4</v>
      </c>
      <c r="K10" s="6">
        <v>2</v>
      </c>
    </row>
    <row r="11" spans="1:11" x14ac:dyDescent="0.2">
      <c r="A11" s="7" t="s">
        <v>436</v>
      </c>
      <c r="B11" s="22" t="s">
        <v>468</v>
      </c>
      <c r="G11" s="21" t="s">
        <v>469</v>
      </c>
      <c r="K11" s="6">
        <v>2</v>
      </c>
    </row>
    <row r="12" spans="1:11" x14ac:dyDescent="0.2">
      <c r="A12" s="14" cm="1">
        <f t="array" ref="A12">SQRT(SUMPRODUCT(B2:B6,(A2:A6-$G$3)^2)/(SUM(B2:B6)-1))</f>
        <v>1.0636755661991653</v>
      </c>
      <c r="B12" s="13">
        <f>G2/B7</f>
        <v>3.5021276595744681</v>
      </c>
      <c r="G12" s="6">
        <f>MEDIAN(K2:K236)</f>
        <v>4</v>
      </c>
      <c r="K12" s="6">
        <v>2</v>
      </c>
    </row>
    <row r="13" spans="1:11" x14ac:dyDescent="0.2">
      <c r="B13" s="22" t="s">
        <v>473</v>
      </c>
      <c r="G13" s="21" t="s">
        <v>471</v>
      </c>
      <c r="K13" s="6">
        <v>2</v>
      </c>
    </row>
    <row r="14" spans="1:11" x14ac:dyDescent="0.2">
      <c r="B14" s="23">
        <f>(A12/B12)*100</f>
        <v>30.372267078590987</v>
      </c>
      <c r="G14" s="6">
        <f>_xlfn.VAR.S(K2:K236)</f>
        <v>1.1314057101291146</v>
      </c>
      <c r="K14" s="6">
        <v>2</v>
      </c>
    </row>
    <row r="15" spans="1:11" x14ac:dyDescent="0.2">
      <c r="K15" s="6">
        <v>2</v>
      </c>
    </row>
    <row r="16" spans="1:11" x14ac:dyDescent="0.2">
      <c r="K16" s="6">
        <v>2</v>
      </c>
    </row>
    <row r="17" spans="11:11" x14ac:dyDescent="0.2">
      <c r="K17" s="6">
        <v>2</v>
      </c>
    </row>
    <row r="18" spans="11:11" x14ac:dyDescent="0.2">
      <c r="K18" s="6">
        <v>2</v>
      </c>
    </row>
    <row r="19" spans="11:11" x14ac:dyDescent="0.2">
      <c r="K19" s="6">
        <v>2</v>
      </c>
    </row>
    <row r="20" spans="11:11" x14ac:dyDescent="0.2">
      <c r="K20" s="6">
        <v>2</v>
      </c>
    </row>
    <row r="21" spans="11:11" x14ac:dyDescent="0.2">
      <c r="K21" s="6">
        <v>2</v>
      </c>
    </row>
    <row r="22" spans="11:11" x14ac:dyDescent="0.2">
      <c r="K22" s="6">
        <v>2</v>
      </c>
    </row>
    <row r="23" spans="11:11" x14ac:dyDescent="0.2">
      <c r="K23" s="6">
        <v>2</v>
      </c>
    </row>
    <row r="24" spans="11:11" x14ac:dyDescent="0.2">
      <c r="K24" s="6">
        <v>2</v>
      </c>
    </row>
    <row r="25" spans="11:11" x14ac:dyDescent="0.2">
      <c r="K25" s="6">
        <v>2</v>
      </c>
    </row>
    <row r="26" spans="11:11" x14ac:dyDescent="0.2">
      <c r="K26" s="6">
        <v>2</v>
      </c>
    </row>
    <row r="27" spans="11:11" x14ac:dyDescent="0.2">
      <c r="K27" s="6">
        <v>2</v>
      </c>
    </row>
    <row r="28" spans="11:11" x14ac:dyDescent="0.2">
      <c r="K28" s="6">
        <v>2</v>
      </c>
    </row>
    <row r="29" spans="11:11" x14ac:dyDescent="0.2">
      <c r="K29" s="6">
        <v>2</v>
      </c>
    </row>
    <row r="30" spans="11:11" x14ac:dyDescent="0.2">
      <c r="K30" s="6">
        <v>2</v>
      </c>
    </row>
    <row r="31" spans="11:11" x14ac:dyDescent="0.2">
      <c r="K31" s="6">
        <v>2</v>
      </c>
    </row>
    <row r="32" spans="11:11" x14ac:dyDescent="0.2">
      <c r="K32" s="6">
        <v>2</v>
      </c>
    </row>
    <row r="33" spans="11:11" x14ac:dyDescent="0.2">
      <c r="K33" s="6">
        <v>2</v>
      </c>
    </row>
    <row r="34" spans="11:11" x14ac:dyDescent="0.2">
      <c r="K34" s="6">
        <v>2</v>
      </c>
    </row>
    <row r="35" spans="11:11" x14ac:dyDescent="0.2">
      <c r="K35" s="6">
        <v>2</v>
      </c>
    </row>
    <row r="36" spans="11:11" x14ac:dyDescent="0.2">
      <c r="K36" s="6">
        <v>2</v>
      </c>
    </row>
    <row r="37" spans="11:11" x14ac:dyDescent="0.2">
      <c r="K37" s="6">
        <v>2</v>
      </c>
    </row>
    <row r="38" spans="11:11" x14ac:dyDescent="0.2">
      <c r="K38" s="6">
        <v>2</v>
      </c>
    </row>
    <row r="39" spans="11:11" x14ac:dyDescent="0.2">
      <c r="K39" s="6">
        <v>2</v>
      </c>
    </row>
    <row r="40" spans="11:11" x14ac:dyDescent="0.2">
      <c r="K40" s="6">
        <v>2</v>
      </c>
    </row>
    <row r="41" spans="11:11" x14ac:dyDescent="0.2">
      <c r="K41" s="6">
        <v>2</v>
      </c>
    </row>
    <row r="42" spans="11:11" x14ac:dyDescent="0.2">
      <c r="K42" s="6">
        <v>2</v>
      </c>
    </row>
    <row r="43" spans="11:11" x14ac:dyDescent="0.2">
      <c r="K43" s="6">
        <v>2</v>
      </c>
    </row>
    <row r="44" spans="11:11" x14ac:dyDescent="0.2">
      <c r="K44" s="6">
        <v>2</v>
      </c>
    </row>
    <row r="45" spans="11:11" x14ac:dyDescent="0.2">
      <c r="K45" s="6">
        <v>2</v>
      </c>
    </row>
    <row r="46" spans="11:11" x14ac:dyDescent="0.2">
      <c r="K46" s="6">
        <v>3</v>
      </c>
    </row>
    <row r="47" spans="11:11" x14ac:dyDescent="0.2">
      <c r="K47" s="6">
        <v>3</v>
      </c>
    </row>
    <row r="48" spans="11:11" x14ac:dyDescent="0.2">
      <c r="K48" s="6">
        <v>3</v>
      </c>
    </row>
    <row r="49" spans="11:11" x14ac:dyDescent="0.2">
      <c r="K49" s="6">
        <v>3</v>
      </c>
    </row>
    <row r="50" spans="11:11" x14ac:dyDescent="0.2">
      <c r="K50" s="6">
        <v>3</v>
      </c>
    </row>
    <row r="51" spans="11:11" x14ac:dyDescent="0.2">
      <c r="K51" s="6">
        <v>3</v>
      </c>
    </row>
    <row r="52" spans="11:11" x14ac:dyDescent="0.2">
      <c r="K52" s="6">
        <v>3</v>
      </c>
    </row>
    <row r="53" spans="11:11" x14ac:dyDescent="0.2">
      <c r="K53" s="6">
        <v>3</v>
      </c>
    </row>
    <row r="54" spans="11:11" x14ac:dyDescent="0.2">
      <c r="K54" s="6">
        <v>3</v>
      </c>
    </row>
    <row r="55" spans="11:11" x14ac:dyDescent="0.2">
      <c r="K55" s="6">
        <v>3</v>
      </c>
    </row>
    <row r="56" spans="11:11" x14ac:dyDescent="0.2">
      <c r="K56" s="6">
        <v>3</v>
      </c>
    </row>
    <row r="57" spans="11:11" x14ac:dyDescent="0.2">
      <c r="K57" s="6">
        <v>3</v>
      </c>
    </row>
    <row r="58" spans="11:11" x14ac:dyDescent="0.2">
      <c r="K58" s="6">
        <v>3</v>
      </c>
    </row>
    <row r="59" spans="11:11" x14ac:dyDescent="0.2">
      <c r="K59" s="6">
        <v>3</v>
      </c>
    </row>
    <row r="60" spans="11:11" x14ac:dyDescent="0.2">
      <c r="K60" s="6">
        <v>3</v>
      </c>
    </row>
    <row r="61" spans="11:11" x14ac:dyDescent="0.2">
      <c r="K61" s="6">
        <v>3</v>
      </c>
    </row>
    <row r="62" spans="11:11" x14ac:dyDescent="0.2">
      <c r="K62" s="6">
        <v>3</v>
      </c>
    </row>
    <row r="63" spans="11:11" x14ac:dyDescent="0.2">
      <c r="K63" s="6">
        <v>3</v>
      </c>
    </row>
    <row r="64" spans="11:11" x14ac:dyDescent="0.2">
      <c r="K64" s="6">
        <v>3</v>
      </c>
    </row>
    <row r="65" spans="11:11" x14ac:dyDescent="0.2">
      <c r="K65" s="6">
        <v>3</v>
      </c>
    </row>
    <row r="66" spans="11:11" x14ac:dyDescent="0.2">
      <c r="K66" s="6">
        <v>3</v>
      </c>
    </row>
    <row r="67" spans="11:11" x14ac:dyDescent="0.2">
      <c r="K67" s="6">
        <v>3</v>
      </c>
    </row>
    <row r="68" spans="11:11" x14ac:dyDescent="0.2">
      <c r="K68" s="6">
        <v>3</v>
      </c>
    </row>
    <row r="69" spans="11:11" x14ac:dyDescent="0.2">
      <c r="K69" s="6">
        <v>3</v>
      </c>
    </row>
    <row r="70" spans="11:11" x14ac:dyDescent="0.2">
      <c r="K70" s="6">
        <v>3</v>
      </c>
    </row>
    <row r="71" spans="11:11" x14ac:dyDescent="0.2">
      <c r="K71" s="6">
        <v>3</v>
      </c>
    </row>
    <row r="72" spans="11:11" x14ac:dyDescent="0.2">
      <c r="K72" s="6">
        <v>3</v>
      </c>
    </row>
    <row r="73" spans="11:11" x14ac:dyDescent="0.2">
      <c r="K73" s="6">
        <v>3</v>
      </c>
    </row>
    <row r="74" spans="11:11" x14ac:dyDescent="0.2">
      <c r="K74" s="6">
        <v>3</v>
      </c>
    </row>
    <row r="75" spans="11:11" x14ac:dyDescent="0.2">
      <c r="K75" s="6">
        <v>3</v>
      </c>
    </row>
    <row r="76" spans="11:11" x14ac:dyDescent="0.2">
      <c r="K76" s="6">
        <v>3</v>
      </c>
    </row>
    <row r="77" spans="11:11" x14ac:dyDescent="0.2">
      <c r="K77" s="6">
        <v>3</v>
      </c>
    </row>
    <row r="78" spans="11:11" x14ac:dyDescent="0.2">
      <c r="K78" s="6">
        <v>3</v>
      </c>
    </row>
    <row r="79" spans="11:11" x14ac:dyDescent="0.2">
      <c r="K79" s="6">
        <v>3</v>
      </c>
    </row>
    <row r="80" spans="11:11" x14ac:dyDescent="0.2">
      <c r="K80" s="6">
        <v>3</v>
      </c>
    </row>
    <row r="81" spans="11:11" x14ac:dyDescent="0.2">
      <c r="K81" s="6">
        <v>3</v>
      </c>
    </row>
    <row r="82" spans="11:11" x14ac:dyDescent="0.2">
      <c r="K82" s="6">
        <v>3</v>
      </c>
    </row>
    <row r="83" spans="11:11" x14ac:dyDescent="0.2">
      <c r="K83" s="6">
        <v>3</v>
      </c>
    </row>
    <row r="84" spans="11:11" x14ac:dyDescent="0.2">
      <c r="K84" s="6">
        <v>3</v>
      </c>
    </row>
    <row r="85" spans="11:11" x14ac:dyDescent="0.2">
      <c r="K85" s="6">
        <v>3</v>
      </c>
    </row>
    <row r="86" spans="11:11" x14ac:dyDescent="0.2">
      <c r="K86" s="6">
        <v>3</v>
      </c>
    </row>
    <row r="87" spans="11:11" x14ac:dyDescent="0.2">
      <c r="K87" s="6">
        <v>3</v>
      </c>
    </row>
    <row r="88" spans="11:11" x14ac:dyDescent="0.2">
      <c r="K88" s="6">
        <v>3</v>
      </c>
    </row>
    <row r="89" spans="11:11" x14ac:dyDescent="0.2">
      <c r="K89" s="6">
        <v>3</v>
      </c>
    </row>
    <row r="90" spans="11:11" x14ac:dyDescent="0.2">
      <c r="K90" s="6">
        <v>3</v>
      </c>
    </row>
    <row r="91" spans="11:11" x14ac:dyDescent="0.2">
      <c r="K91" s="6">
        <v>3</v>
      </c>
    </row>
    <row r="92" spans="11:11" x14ac:dyDescent="0.2">
      <c r="K92" s="6">
        <v>3</v>
      </c>
    </row>
    <row r="93" spans="11:11" x14ac:dyDescent="0.2">
      <c r="K93" s="6">
        <v>3</v>
      </c>
    </row>
    <row r="94" spans="11:11" x14ac:dyDescent="0.2">
      <c r="K94" s="6">
        <v>3</v>
      </c>
    </row>
    <row r="95" spans="11:11" x14ac:dyDescent="0.2">
      <c r="K95" s="6">
        <v>3</v>
      </c>
    </row>
    <row r="96" spans="11:11" x14ac:dyDescent="0.2">
      <c r="K96" s="6">
        <v>3</v>
      </c>
    </row>
    <row r="97" spans="11:11" x14ac:dyDescent="0.2">
      <c r="K97" s="6">
        <v>3</v>
      </c>
    </row>
    <row r="98" spans="11:11" x14ac:dyDescent="0.2">
      <c r="K98" s="6">
        <v>3</v>
      </c>
    </row>
    <row r="99" spans="11:11" x14ac:dyDescent="0.2">
      <c r="K99" s="6">
        <v>3</v>
      </c>
    </row>
    <row r="100" spans="11:11" x14ac:dyDescent="0.2">
      <c r="K100" s="6">
        <v>3</v>
      </c>
    </row>
    <row r="101" spans="11:11" x14ac:dyDescent="0.2">
      <c r="K101" s="6">
        <v>3</v>
      </c>
    </row>
    <row r="102" spans="11:11" x14ac:dyDescent="0.2">
      <c r="K102" s="6">
        <v>3</v>
      </c>
    </row>
    <row r="103" spans="11:11" x14ac:dyDescent="0.2">
      <c r="K103" s="6">
        <v>3</v>
      </c>
    </row>
    <row r="104" spans="11:11" x14ac:dyDescent="0.2">
      <c r="K104" s="6">
        <v>3</v>
      </c>
    </row>
    <row r="105" spans="11:11" x14ac:dyDescent="0.2">
      <c r="K105" s="6">
        <v>3</v>
      </c>
    </row>
    <row r="106" spans="11:11" x14ac:dyDescent="0.2">
      <c r="K106" s="6">
        <v>3</v>
      </c>
    </row>
    <row r="107" spans="11:11" x14ac:dyDescent="0.2">
      <c r="K107" s="6">
        <v>3</v>
      </c>
    </row>
    <row r="108" spans="11:11" x14ac:dyDescent="0.2">
      <c r="K108" s="6">
        <v>3</v>
      </c>
    </row>
    <row r="109" spans="11:11" x14ac:dyDescent="0.2">
      <c r="K109" s="6">
        <v>3</v>
      </c>
    </row>
    <row r="110" spans="11:11" x14ac:dyDescent="0.2">
      <c r="K110" s="6">
        <v>3</v>
      </c>
    </row>
    <row r="111" spans="11:11" x14ac:dyDescent="0.2">
      <c r="K111" s="6">
        <v>3</v>
      </c>
    </row>
    <row r="112" spans="11:11" x14ac:dyDescent="0.2">
      <c r="K112" s="6">
        <v>3</v>
      </c>
    </row>
    <row r="113" spans="11:11" x14ac:dyDescent="0.2">
      <c r="K113" s="6">
        <v>3</v>
      </c>
    </row>
    <row r="114" spans="11:11" x14ac:dyDescent="0.2">
      <c r="K114" s="6">
        <v>3</v>
      </c>
    </row>
    <row r="115" spans="11:11" x14ac:dyDescent="0.2">
      <c r="K115" s="6">
        <v>3</v>
      </c>
    </row>
    <row r="116" spans="11:11" x14ac:dyDescent="0.2">
      <c r="K116" s="6">
        <v>4</v>
      </c>
    </row>
    <row r="117" spans="11:11" x14ac:dyDescent="0.2">
      <c r="K117" s="6">
        <v>4</v>
      </c>
    </row>
    <row r="118" spans="11:11" x14ac:dyDescent="0.2">
      <c r="K118" s="6">
        <v>4</v>
      </c>
    </row>
    <row r="119" spans="11:11" x14ac:dyDescent="0.2">
      <c r="K119" s="6">
        <v>4</v>
      </c>
    </row>
    <row r="120" spans="11:11" x14ac:dyDescent="0.2">
      <c r="K120" s="6">
        <v>4</v>
      </c>
    </row>
    <row r="121" spans="11:11" x14ac:dyDescent="0.2">
      <c r="K121" s="6">
        <v>4</v>
      </c>
    </row>
    <row r="122" spans="11:11" x14ac:dyDescent="0.2">
      <c r="K122" s="6">
        <v>4</v>
      </c>
    </row>
    <row r="123" spans="11:11" x14ac:dyDescent="0.2">
      <c r="K123" s="6">
        <v>4</v>
      </c>
    </row>
    <row r="124" spans="11:11" x14ac:dyDescent="0.2">
      <c r="K124" s="6">
        <v>4</v>
      </c>
    </row>
    <row r="125" spans="11:11" x14ac:dyDescent="0.2">
      <c r="K125" s="6">
        <v>4</v>
      </c>
    </row>
    <row r="126" spans="11:11" x14ac:dyDescent="0.2">
      <c r="K126" s="6">
        <v>4</v>
      </c>
    </row>
    <row r="127" spans="11:11" x14ac:dyDescent="0.2">
      <c r="K127" s="6">
        <v>4</v>
      </c>
    </row>
    <row r="128" spans="11:11" x14ac:dyDescent="0.2">
      <c r="K128" s="6">
        <v>4</v>
      </c>
    </row>
    <row r="129" spans="11:11" x14ac:dyDescent="0.2">
      <c r="K129" s="6">
        <v>4</v>
      </c>
    </row>
    <row r="130" spans="11:11" x14ac:dyDescent="0.2">
      <c r="K130" s="6">
        <v>4</v>
      </c>
    </row>
    <row r="131" spans="11:11" x14ac:dyDescent="0.2">
      <c r="K131" s="6">
        <v>4</v>
      </c>
    </row>
    <row r="132" spans="11:11" x14ac:dyDescent="0.2">
      <c r="K132" s="6">
        <v>4</v>
      </c>
    </row>
    <row r="133" spans="11:11" x14ac:dyDescent="0.2">
      <c r="K133" s="6">
        <v>4</v>
      </c>
    </row>
    <row r="134" spans="11:11" x14ac:dyDescent="0.2">
      <c r="K134" s="6">
        <v>4</v>
      </c>
    </row>
    <row r="135" spans="11:11" x14ac:dyDescent="0.2">
      <c r="K135" s="6">
        <v>4</v>
      </c>
    </row>
    <row r="136" spans="11:11" x14ac:dyDescent="0.2">
      <c r="K136" s="6">
        <v>4</v>
      </c>
    </row>
    <row r="137" spans="11:11" x14ac:dyDescent="0.2">
      <c r="K137" s="6">
        <v>4</v>
      </c>
    </row>
    <row r="138" spans="11:11" x14ac:dyDescent="0.2">
      <c r="K138" s="6">
        <v>4</v>
      </c>
    </row>
    <row r="139" spans="11:11" x14ac:dyDescent="0.2">
      <c r="K139" s="6">
        <v>4</v>
      </c>
    </row>
    <row r="140" spans="11:11" x14ac:dyDescent="0.2">
      <c r="K140" s="6">
        <v>4</v>
      </c>
    </row>
    <row r="141" spans="11:11" x14ac:dyDescent="0.2">
      <c r="K141" s="6">
        <v>4</v>
      </c>
    </row>
    <row r="142" spans="11:11" x14ac:dyDescent="0.2">
      <c r="K142" s="6">
        <v>4</v>
      </c>
    </row>
    <row r="143" spans="11:11" x14ac:dyDescent="0.2">
      <c r="K143" s="6">
        <v>4</v>
      </c>
    </row>
    <row r="144" spans="11:11" x14ac:dyDescent="0.2">
      <c r="K144" s="6">
        <v>4</v>
      </c>
    </row>
    <row r="145" spans="11:11" x14ac:dyDescent="0.2">
      <c r="K145" s="6">
        <v>4</v>
      </c>
    </row>
    <row r="146" spans="11:11" x14ac:dyDescent="0.2">
      <c r="K146" s="6">
        <v>4</v>
      </c>
    </row>
    <row r="147" spans="11:11" x14ac:dyDescent="0.2">
      <c r="K147" s="6">
        <v>4</v>
      </c>
    </row>
    <row r="148" spans="11:11" x14ac:dyDescent="0.2">
      <c r="K148" s="6">
        <v>4</v>
      </c>
    </row>
    <row r="149" spans="11:11" x14ac:dyDescent="0.2">
      <c r="K149" s="6">
        <v>4</v>
      </c>
    </row>
    <row r="150" spans="11:11" x14ac:dyDescent="0.2">
      <c r="K150" s="6">
        <v>4</v>
      </c>
    </row>
    <row r="151" spans="11:11" x14ac:dyDescent="0.2">
      <c r="K151" s="6">
        <v>4</v>
      </c>
    </row>
    <row r="152" spans="11:11" x14ac:dyDescent="0.2">
      <c r="K152" s="6">
        <v>4</v>
      </c>
    </row>
    <row r="153" spans="11:11" x14ac:dyDescent="0.2">
      <c r="K153" s="6">
        <v>4</v>
      </c>
    </row>
    <row r="154" spans="11:11" x14ac:dyDescent="0.2">
      <c r="K154" s="6">
        <v>4</v>
      </c>
    </row>
    <row r="155" spans="11:11" x14ac:dyDescent="0.2">
      <c r="K155" s="6">
        <v>4</v>
      </c>
    </row>
    <row r="156" spans="11:11" x14ac:dyDescent="0.2">
      <c r="K156" s="6">
        <v>4</v>
      </c>
    </row>
    <row r="157" spans="11:11" x14ac:dyDescent="0.2">
      <c r="K157" s="6">
        <v>4</v>
      </c>
    </row>
    <row r="158" spans="11:11" x14ac:dyDescent="0.2">
      <c r="K158" s="6">
        <v>4</v>
      </c>
    </row>
    <row r="159" spans="11:11" x14ac:dyDescent="0.2">
      <c r="K159" s="6">
        <v>4</v>
      </c>
    </row>
    <row r="160" spans="11:11" x14ac:dyDescent="0.2">
      <c r="K160" s="6">
        <v>4</v>
      </c>
    </row>
    <row r="161" spans="11:11" x14ac:dyDescent="0.2">
      <c r="K161" s="6">
        <v>4</v>
      </c>
    </row>
    <row r="162" spans="11:11" x14ac:dyDescent="0.2">
      <c r="K162" s="6">
        <v>4</v>
      </c>
    </row>
    <row r="163" spans="11:11" x14ac:dyDescent="0.2">
      <c r="K163" s="6">
        <v>4</v>
      </c>
    </row>
    <row r="164" spans="11:11" x14ac:dyDescent="0.2">
      <c r="K164" s="6">
        <v>4</v>
      </c>
    </row>
    <row r="165" spans="11:11" x14ac:dyDescent="0.2">
      <c r="K165" s="6">
        <v>4</v>
      </c>
    </row>
    <row r="166" spans="11:11" x14ac:dyDescent="0.2">
      <c r="K166" s="6">
        <v>4</v>
      </c>
    </row>
    <row r="167" spans="11:11" x14ac:dyDescent="0.2">
      <c r="K167" s="6">
        <v>4</v>
      </c>
    </row>
    <row r="168" spans="11:11" x14ac:dyDescent="0.2">
      <c r="K168" s="6">
        <v>4</v>
      </c>
    </row>
    <row r="169" spans="11:11" x14ac:dyDescent="0.2">
      <c r="K169" s="6">
        <v>4</v>
      </c>
    </row>
    <row r="170" spans="11:11" x14ac:dyDescent="0.2">
      <c r="K170" s="6">
        <v>4</v>
      </c>
    </row>
    <row r="171" spans="11:11" x14ac:dyDescent="0.2">
      <c r="K171" s="6">
        <v>4</v>
      </c>
    </row>
    <row r="172" spans="11:11" x14ac:dyDescent="0.2">
      <c r="K172" s="6">
        <v>4</v>
      </c>
    </row>
    <row r="173" spans="11:11" x14ac:dyDescent="0.2">
      <c r="K173" s="6">
        <v>4</v>
      </c>
    </row>
    <row r="174" spans="11:11" x14ac:dyDescent="0.2">
      <c r="K174" s="6">
        <v>4</v>
      </c>
    </row>
    <row r="175" spans="11:11" x14ac:dyDescent="0.2">
      <c r="K175" s="6">
        <v>4</v>
      </c>
    </row>
    <row r="176" spans="11:11" x14ac:dyDescent="0.2">
      <c r="K176" s="6">
        <v>4</v>
      </c>
    </row>
    <row r="177" spans="11:11" x14ac:dyDescent="0.2">
      <c r="K177" s="6">
        <v>4</v>
      </c>
    </row>
    <row r="178" spans="11:11" x14ac:dyDescent="0.2">
      <c r="K178" s="6">
        <v>4</v>
      </c>
    </row>
    <row r="179" spans="11:11" x14ac:dyDescent="0.2">
      <c r="K179" s="6">
        <v>4</v>
      </c>
    </row>
    <row r="180" spans="11:11" x14ac:dyDescent="0.2">
      <c r="K180" s="6">
        <v>4</v>
      </c>
    </row>
    <row r="181" spans="11:11" x14ac:dyDescent="0.2">
      <c r="K181" s="6">
        <v>4</v>
      </c>
    </row>
    <row r="182" spans="11:11" x14ac:dyDescent="0.2">
      <c r="K182" s="6">
        <v>4</v>
      </c>
    </row>
    <row r="183" spans="11:11" x14ac:dyDescent="0.2">
      <c r="K183" s="6">
        <v>4</v>
      </c>
    </row>
    <row r="184" spans="11:11" x14ac:dyDescent="0.2">
      <c r="K184" s="6">
        <v>4</v>
      </c>
    </row>
    <row r="185" spans="11:11" x14ac:dyDescent="0.2">
      <c r="K185" s="6">
        <v>4</v>
      </c>
    </row>
    <row r="186" spans="11:11" x14ac:dyDescent="0.2">
      <c r="K186" s="6">
        <v>4</v>
      </c>
    </row>
    <row r="187" spans="11:11" x14ac:dyDescent="0.2">
      <c r="K187" s="6">
        <v>4</v>
      </c>
    </row>
    <row r="188" spans="11:11" x14ac:dyDescent="0.2">
      <c r="K188" s="6">
        <v>4</v>
      </c>
    </row>
    <row r="189" spans="11:11" x14ac:dyDescent="0.2">
      <c r="K189" s="6">
        <v>4</v>
      </c>
    </row>
    <row r="190" spans="11:11" x14ac:dyDescent="0.2">
      <c r="K190" s="6">
        <v>5</v>
      </c>
    </row>
    <row r="191" spans="11:11" x14ac:dyDescent="0.2">
      <c r="K191" s="6">
        <v>5</v>
      </c>
    </row>
    <row r="192" spans="11:11" x14ac:dyDescent="0.2">
      <c r="K192" s="6">
        <v>5</v>
      </c>
    </row>
    <row r="193" spans="11:11" x14ac:dyDescent="0.2">
      <c r="K193" s="6">
        <v>5</v>
      </c>
    </row>
    <row r="194" spans="11:11" x14ac:dyDescent="0.2">
      <c r="K194" s="6">
        <v>5</v>
      </c>
    </row>
    <row r="195" spans="11:11" x14ac:dyDescent="0.2">
      <c r="K195" s="6">
        <v>5</v>
      </c>
    </row>
    <row r="196" spans="11:11" x14ac:dyDescent="0.2">
      <c r="K196" s="6">
        <v>5</v>
      </c>
    </row>
    <row r="197" spans="11:11" x14ac:dyDescent="0.2">
      <c r="K197" s="6">
        <v>5</v>
      </c>
    </row>
    <row r="198" spans="11:11" x14ac:dyDescent="0.2">
      <c r="K198" s="6">
        <v>5</v>
      </c>
    </row>
    <row r="199" spans="11:11" x14ac:dyDescent="0.2">
      <c r="K199" s="6">
        <v>5</v>
      </c>
    </row>
    <row r="200" spans="11:11" x14ac:dyDescent="0.2">
      <c r="K200" s="6">
        <v>5</v>
      </c>
    </row>
    <row r="201" spans="11:11" x14ac:dyDescent="0.2">
      <c r="K201" s="6">
        <v>5</v>
      </c>
    </row>
    <row r="202" spans="11:11" x14ac:dyDescent="0.2">
      <c r="K202" s="6">
        <v>5</v>
      </c>
    </row>
    <row r="203" spans="11:11" x14ac:dyDescent="0.2">
      <c r="K203" s="6">
        <v>5</v>
      </c>
    </row>
    <row r="204" spans="11:11" x14ac:dyDescent="0.2">
      <c r="K204" s="6">
        <v>5</v>
      </c>
    </row>
    <row r="205" spans="11:11" x14ac:dyDescent="0.2">
      <c r="K205" s="6">
        <v>5</v>
      </c>
    </row>
    <row r="206" spans="11:11" x14ac:dyDescent="0.2">
      <c r="K206" s="6">
        <v>5</v>
      </c>
    </row>
    <row r="207" spans="11:11" x14ac:dyDescent="0.2">
      <c r="K207" s="6">
        <v>5</v>
      </c>
    </row>
    <row r="208" spans="11:11" x14ac:dyDescent="0.2">
      <c r="K208" s="6">
        <v>5</v>
      </c>
    </row>
    <row r="209" spans="11:11" x14ac:dyDescent="0.2">
      <c r="K209" s="6">
        <v>5</v>
      </c>
    </row>
    <row r="210" spans="11:11" x14ac:dyDescent="0.2">
      <c r="K210" s="6">
        <v>5</v>
      </c>
    </row>
    <row r="211" spans="11:11" x14ac:dyDescent="0.2">
      <c r="K211" s="6">
        <v>5</v>
      </c>
    </row>
    <row r="212" spans="11:11" x14ac:dyDescent="0.2">
      <c r="K212" s="6">
        <v>5</v>
      </c>
    </row>
    <row r="213" spans="11:11" x14ac:dyDescent="0.2">
      <c r="K213" s="6">
        <v>5</v>
      </c>
    </row>
    <row r="214" spans="11:11" x14ac:dyDescent="0.2">
      <c r="K214" s="6">
        <v>5</v>
      </c>
    </row>
    <row r="215" spans="11:11" x14ac:dyDescent="0.2">
      <c r="K215" s="6">
        <v>5</v>
      </c>
    </row>
    <row r="216" spans="11:11" x14ac:dyDescent="0.2">
      <c r="K216" s="6">
        <v>5</v>
      </c>
    </row>
    <row r="217" spans="11:11" x14ac:dyDescent="0.2">
      <c r="K217" s="6">
        <v>5</v>
      </c>
    </row>
    <row r="218" spans="11:11" x14ac:dyDescent="0.2">
      <c r="K218" s="6">
        <v>5</v>
      </c>
    </row>
    <row r="219" spans="11:11" x14ac:dyDescent="0.2">
      <c r="K219" s="6">
        <v>5</v>
      </c>
    </row>
    <row r="220" spans="11:11" x14ac:dyDescent="0.2">
      <c r="K220" s="6">
        <v>5</v>
      </c>
    </row>
    <row r="221" spans="11:11" x14ac:dyDescent="0.2">
      <c r="K221" s="6">
        <v>5</v>
      </c>
    </row>
    <row r="222" spans="11:11" x14ac:dyDescent="0.2">
      <c r="K222" s="6">
        <v>5</v>
      </c>
    </row>
    <row r="223" spans="11:11" x14ac:dyDescent="0.2">
      <c r="K223" s="6">
        <v>5</v>
      </c>
    </row>
    <row r="224" spans="11:11" x14ac:dyDescent="0.2">
      <c r="K224" s="6">
        <v>5</v>
      </c>
    </row>
    <row r="225" spans="11:11" x14ac:dyDescent="0.2">
      <c r="K225" s="6">
        <v>5</v>
      </c>
    </row>
    <row r="226" spans="11:11" x14ac:dyDescent="0.2">
      <c r="K226" s="6">
        <v>5</v>
      </c>
    </row>
    <row r="227" spans="11:11" x14ac:dyDescent="0.2">
      <c r="K227" s="6">
        <v>5</v>
      </c>
    </row>
    <row r="228" spans="11:11" x14ac:dyDescent="0.2">
      <c r="K228" s="6">
        <v>5</v>
      </c>
    </row>
    <row r="229" spans="11:11" x14ac:dyDescent="0.2">
      <c r="K229" s="6">
        <v>5</v>
      </c>
    </row>
    <row r="230" spans="11:11" x14ac:dyDescent="0.2">
      <c r="K230" s="6">
        <v>5</v>
      </c>
    </row>
    <row r="231" spans="11:11" x14ac:dyDescent="0.2">
      <c r="K231" s="6">
        <v>5</v>
      </c>
    </row>
    <row r="232" spans="11:11" x14ac:dyDescent="0.2">
      <c r="K232" s="6">
        <v>5</v>
      </c>
    </row>
    <row r="233" spans="11:11" x14ac:dyDescent="0.2">
      <c r="K233" s="6">
        <v>5</v>
      </c>
    </row>
    <row r="234" spans="11:11" x14ac:dyDescent="0.2">
      <c r="K234" s="6">
        <v>5</v>
      </c>
    </row>
    <row r="235" spans="11:11" x14ac:dyDescent="0.2">
      <c r="K235" s="6">
        <v>5</v>
      </c>
    </row>
    <row r="236" spans="11:11" x14ac:dyDescent="0.2">
      <c r="K236" s="6">
        <v>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423E-27C1-4518-A41E-3F9954B332E9}">
  <sheetPr>
    <tabColor rgb="FF00B050"/>
  </sheetPr>
  <dimension ref="A1:E10"/>
  <sheetViews>
    <sheetView workbookViewId="0">
      <selection activeCell="G8" sqref="G8"/>
    </sheetView>
  </sheetViews>
  <sheetFormatPr baseColWidth="10" defaultRowHeight="12.75" x14ac:dyDescent="0.2"/>
  <cols>
    <col min="1" max="1" width="8.5703125" bestFit="1" customWidth="1"/>
    <col min="2" max="2" width="39.85546875" bestFit="1" customWidth="1"/>
    <col min="3" max="3" width="15.7109375" bestFit="1" customWidth="1"/>
    <col min="4" max="4" width="19.7109375" customWidth="1"/>
    <col min="5" max="5" width="15.7109375" bestFit="1" customWidth="1"/>
    <col min="6" max="7" width="19.5703125" bestFit="1" customWidth="1"/>
    <col min="8" max="8" width="18.85546875" bestFit="1" customWidth="1"/>
  </cols>
  <sheetData>
    <row r="1" spans="1:5" ht="25.5" x14ac:dyDescent="0.2">
      <c r="A1" s="10" t="s">
        <v>463</v>
      </c>
      <c r="B1" s="11" t="s">
        <v>464</v>
      </c>
      <c r="C1" s="10" t="s">
        <v>504</v>
      </c>
      <c r="D1" s="10" t="s">
        <v>465</v>
      </c>
      <c r="E1" s="10" t="s">
        <v>503</v>
      </c>
    </row>
    <row r="2" spans="1:5" x14ac:dyDescent="0.2">
      <c r="A2" s="9">
        <v>1</v>
      </c>
      <c r="B2" s="6" t="s">
        <v>450</v>
      </c>
      <c r="C2" s="9">
        <v>71</v>
      </c>
      <c r="D2" s="17">
        <f>C2/$C$10*100</f>
        <v>30.212765957446809</v>
      </c>
      <c r="E2" s="17">
        <f>Tabla2[[#This Row],[Frecuencia absoluta]]/235</f>
        <v>0.30212765957446808</v>
      </c>
    </row>
    <row r="3" spans="1:5" x14ac:dyDescent="0.2">
      <c r="A3" s="9">
        <v>2</v>
      </c>
      <c r="B3" s="6" t="s">
        <v>451</v>
      </c>
      <c r="C3" s="9">
        <v>38</v>
      </c>
      <c r="D3" s="17">
        <f t="shared" ref="D3:D10" si="0">C3/$C$10*100</f>
        <v>16.170212765957448</v>
      </c>
      <c r="E3" s="17">
        <f>Tabla2[[#This Row],[Frecuencia absoluta]]/235</f>
        <v>0.16170212765957448</v>
      </c>
    </row>
    <row r="4" spans="1:5" x14ac:dyDescent="0.2">
      <c r="A4" s="9">
        <v>3</v>
      </c>
      <c r="B4" s="6" t="s">
        <v>452</v>
      </c>
      <c r="C4" s="9">
        <v>35</v>
      </c>
      <c r="D4" s="17">
        <f t="shared" si="0"/>
        <v>14.893617021276595</v>
      </c>
      <c r="E4" s="17">
        <f>Tabla2[[#This Row],[Frecuencia absoluta]]/235</f>
        <v>0.14893617021276595</v>
      </c>
    </row>
    <row r="5" spans="1:5" x14ac:dyDescent="0.2">
      <c r="A5" s="9">
        <v>4</v>
      </c>
      <c r="B5" s="6" t="s">
        <v>453</v>
      </c>
      <c r="C5" s="9">
        <v>30</v>
      </c>
      <c r="D5" s="17">
        <f t="shared" si="0"/>
        <v>12.76595744680851</v>
      </c>
      <c r="E5" s="17">
        <f>Tabla2[[#This Row],[Frecuencia absoluta]]/235</f>
        <v>0.1276595744680851</v>
      </c>
    </row>
    <row r="6" spans="1:5" x14ac:dyDescent="0.2">
      <c r="A6" s="9">
        <v>5</v>
      </c>
      <c r="B6" s="6" t="s">
        <v>454</v>
      </c>
      <c r="C6" s="9">
        <v>22</v>
      </c>
      <c r="D6" s="17">
        <f>C6/$C$10*100</f>
        <v>9.3617021276595747</v>
      </c>
      <c r="E6" s="17">
        <f>Tabla2[[#This Row],[Frecuencia absoluta]]/235</f>
        <v>9.3617021276595741E-2</v>
      </c>
    </row>
    <row r="7" spans="1:5" x14ac:dyDescent="0.2">
      <c r="A7" s="9">
        <v>6</v>
      </c>
      <c r="B7" s="6" t="s">
        <v>455</v>
      </c>
      <c r="C7" s="9">
        <v>18</v>
      </c>
      <c r="D7" s="17">
        <f t="shared" si="0"/>
        <v>7.6595744680851059</v>
      </c>
      <c r="E7" s="17">
        <f>Tabla2[[#This Row],[Frecuencia absoluta]]/235</f>
        <v>7.6595744680851063E-2</v>
      </c>
    </row>
    <row r="8" spans="1:5" x14ac:dyDescent="0.2">
      <c r="A8" s="9">
        <v>7</v>
      </c>
      <c r="B8" s="6" t="s">
        <v>456</v>
      </c>
      <c r="C8" s="9">
        <v>14</v>
      </c>
      <c r="D8" s="17">
        <f t="shared" si="0"/>
        <v>5.9574468085106389</v>
      </c>
      <c r="E8" s="17">
        <f>Tabla2[[#This Row],[Frecuencia absoluta]]/235</f>
        <v>5.9574468085106386E-2</v>
      </c>
    </row>
    <row r="9" spans="1:5" x14ac:dyDescent="0.2">
      <c r="A9" s="9">
        <v>8</v>
      </c>
      <c r="B9" s="6" t="s">
        <v>449</v>
      </c>
      <c r="C9" s="9">
        <v>7</v>
      </c>
      <c r="D9" s="17">
        <f t="shared" si="0"/>
        <v>2.9787234042553195</v>
      </c>
      <c r="E9" s="17">
        <f>Tabla2[[#This Row],[Frecuencia absoluta]]/235</f>
        <v>2.9787234042553193E-2</v>
      </c>
    </row>
    <row r="10" spans="1:5" x14ac:dyDescent="0.2">
      <c r="A10" s="10" t="s">
        <v>448</v>
      </c>
      <c r="B10" s="11"/>
      <c r="C10" s="10">
        <f>SUM(C2:C9)</f>
        <v>235</v>
      </c>
      <c r="D10" s="9">
        <f t="shared" si="0"/>
        <v>100</v>
      </c>
      <c r="E10" s="9">
        <f>Tabla2[[#This Row],[Frecuencia absoluta]]/235</f>
        <v>1</v>
      </c>
    </row>
  </sheetData>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7B2DD-74BA-4C82-975F-B0906B3F5A1A}">
  <sheetPr>
    <tabColor rgb="FF00B050"/>
  </sheetPr>
  <dimension ref="A1:E9"/>
  <sheetViews>
    <sheetView topLeftCell="C1" workbookViewId="0">
      <selection activeCell="C34" sqref="C34"/>
    </sheetView>
  </sheetViews>
  <sheetFormatPr baseColWidth="10" defaultRowHeight="12.75" x14ac:dyDescent="0.2"/>
  <cols>
    <col min="1" max="1" width="8" bestFit="1" customWidth="1"/>
    <col min="2" max="2" width="39.85546875" bestFit="1" customWidth="1"/>
    <col min="3" max="3" width="37.42578125" bestFit="1" customWidth="1"/>
    <col min="4" max="4" width="18.28515625" bestFit="1" customWidth="1"/>
    <col min="5" max="5" width="23.28515625" bestFit="1" customWidth="1"/>
    <col min="6" max="6" width="19.5703125" bestFit="1" customWidth="1"/>
    <col min="7" max="7" width="18.85546875" bestFit="1" customWidth="1"/>
  </cols>
  <sheetData>
    <row r="1" spans="1:5" x14ac:dyDescent="0.2">
      <c r="A1" s="18" t="s">
        <v>466</v>
      </c>
      <c r="B1" s="11" t="s">
        <v>446</v>
      </c>
      <c r="C1" s="11" t="s">
        <v>447</v>
      </c>
      <c r="D1" s="19" t="s">
        <v>465</v>
      </c>
      <c r="E1" s="11" t="s">
        <v>503</v>
      </c>
    </row>
    <row r="2" spans="1:5" x14ac:dyDescent="0.2">
      <c r="A2" s="6">
        <v>1</v>
      </c>
      <c r="B2" s="6" t="s">
        <v>462</v>
      </c>
      <c r="C2" s="6">
        <v>63</v>
      </c>
      <c r="D2" s="20">
        <f t="shared" ref="D2:D9" si="0">C2/$C$9*100</f>
        <v>41.44736842105263</v>
      </c>
      <c r="E2" s="13">
        <f>Tabla216[[#This Row],[Frecuencia]]/152</f>
        <v>0.41447368421052633</v>
      </c>
    </row>
    <row r="3" spans="1:5" x14ac:dyDescent="0.2">
      <c r="A3" s="6">
        <v>2</v>
      </c>
      <c r="B3" s="6" t="s">
        <v>457</v>
      </c>
      <c r="C3" s="6">
        <v>29</v>
      </c>
      <c r="D3" s="20">
        <f t="shared" si="0"/>
        <v>19.078947368421055</v>
      </c>
      <c r="E3" s="13">
        <f>Tabla216[[#This Row],[Frecuencia]]/152</f>
        <v>0.19078947368421054</v>
      </c>
    </row>
    <row r="4" spans="1:5" x14ac:dyDescent="0.2">
      <c r="A4" s="6">
        <v>3</v>
      </c>
      <c r="B4" s="6" t="s">
        <v>458</v>
      </c>
      <c r="C4" s="6">
        <v>23</v>
      </c>
      <c r="D4" s="20">
        <f t="shared" si="0"/>
        <v>15.131578947368421</v>
      </c>
      <c r="E4" s="13">
        <f>Tabla216[[#This Row],[Frecuencia]]/152</f>
        <v>0.15131578947368421</v>
      </c>
    </row>
    <row r="5" spans="1:5" x14ac:dyDescent="0.2">
      <c r="A5" s="6">
        <v>4</v>
      </c>
      <c r="B5" s="18" t="s">
        <v>467</v>
      </c>
      <c r="C5" s="6">
        <v>19</v>
      </c>
      <c r="D5" s="20">
        <f t="shared" si="0"/>
        <v>12.5</v>
      </c>
      <c r="E5" s="13">
        <f>Tabla216[[#This Row],[Frecuencia]]/152</f>
        <v>0.125</v>
      </c>
    </row>
    <row r="6" spans="1:5" x14ac:dyDescent="0.2">
      <c r="A6" s="6">
        <v>5</v>
      </c>
      <c r="B6" s="6" t="s">
        <v>459</v>
      </c>
      <c r="C6" s="6">
        <v>11</v>
      </c>
      <c r="D6" s="20">
        <f t="shared" si="0"/>
        <v>7.2368421052631584</v>
      </c>
      <c r="E6" s="13">
        <f>Tabla216[[#This Row],[Frecuencia]]/152</f>
        <v>7.2368421052631582E-2</v>
      </c>
    </row>
    <row r="7" spans="1:5" x14ac:dyDescent="0.2">
      <c r="A7" s="6">
        <v>6</v>
      </c>
      <c r="B7" s="6" t="s">
        <v>460</v>
      </c>
      <c r="C7" s="6">
        <v>5</v>
      </c>
      <c r="D7" s="20">
        <f t="shared" si="0"/>
        <v>3.2894736842105261</v>
      </c>
      <c r="E7" s="13">
        <f>Tabla216[[#This Row],[Frecuencia]]/152</f>
        <v>3.2894736842105261E-2</v>
      </c>
    </row>
    <row r="8" spans="1:5" x14ac:dyDescent="0.2">
      <c r="A8" s="6">
        <v>7</v>
      </c>
      <c r="B8" s="6" t="s">
        <v>461</v>
      </c>
      <c r="C8" s="6">
        <v>2</v>
      </c>
      <c r="D8" s="20">
        <f t="shared" si="0"/>
        <v>1.3157894736842104</v>
      </c>
      <c r="E8" s="13">
        <f>Tabla216[[#This Row],[Frecuencia]]/152</f>
        <v>1.3157894736842105E-2</v>
      </c>
    </row>
    <row r="9" spans="1:5" x14ac:dyDescent="0.2">
      <c r="A9" s="11"/>
      <c r="B9" s="11" t="s">
        <v>448</v>
      </c>
      <c r="C9" s="11">
        <f>SUM(C2:C8)</f>
        <v>152</v>
      </c>
      <c r="D9" s="6">
        <f t="shared" si="0"/>
        <v>100</v>
      </c>
      <c r="E9" s="6">
        <f>Tabla216[[#This Row],[Frecuencia]]/152</f>
        <v>1</v>
      </c>
    </row>
  </sheetData>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73AFC-6F40-40FB-AE34-6F82737E8C84}">
  <dimension ref="A1:J10"/>
  <sheetViews>
    <sheetView workbookViewId="0">
      <selection activeCell="F10" sqref="F10"/>
    </sheetView>
  </sheetViews>
  <sheetFormatPr baseColWidth="10" defaultRowHeight="12.75" x14ac:dyDescent="0.2"/>
  <cols>
    <col min="1" max="1" width="15" bestFit="1" customWidth="1"/>
    <col min="2" max="2" width="28.85546875" customWidth="1"/>
    <col min="3" max="4" width="14" bestFit="1" customWidth="1"/>
    <col min="5" max="5" width="12.28515625" customWidth="1"/>
    <col min="6" max="6" width="25" customWidth="1"/>
    <col min="7" max="7" width="27.85546875" bestFit="1" customWidth="1"/>
    <col min="8" max="8" width="12.28515625" bestFit="1" customWidth="1"/>
    <col min="9" max="9" width="30.7109375" bestFit="1" customWidth="1"/>
  </cols>
  <sheetData>
    <row r="1" spans="1:10" x14ac:dyDescent="0.2">
      <c r="A1" s="45" t="s">
        <v>476</v>
      </c>
      <c r="B1" s="46" t="s">
        <v>479</v>
      </c>
      <c r="C1" s="46" t="s">
        <v>468</v>
      </c>
      <c r="D1" s="46" t="s">
        <v>469</v>
      </c>
      <c r="E1" s="46" t="s">
        <v>470</v>
      </c>
      <c r="F1" s="46" t="s">
        <v>471</v>
      </c>
      <c r="G1" s="46" t="s">
        <v>477</v>
      </c>
      <c r="H1" s="46" t="s">
        <v>472</v>
      </c>
      <c r="I1" s="47" t="s">
        <v>478</v>
      </c>
      <c r="J1" s="6"/>
    </row>
    <row r="2" spans="1:10" x14ac:dyDescent="0.2">
      <c r="A2" s="48">
        <v>6</v>
      </c>
      <c r="B2" s="49" t="s">
        <v>480</v>
      </c>
      <c r="C2" s="50">
        <v>3.03</v>
      </c>
      <c r="D2" s="50">
        <v>3</v>
      </c>
      <c r="E2" s="50">
        <v>3</v>
      </c>
      <c r="F2" s="52">
        <v>0.86619999999999997</v>
      </c>
      <c r="G2" s="50">
        <v>0.94</v>
      </c>
      <c r="H2" s="50">
        <v>4</v>
      </c>
      <c r="I2" s="51">
        <v>0.309</v>
      </c>
    </row>
    <row r="3" spans="1:10" x14ac:dyDescent="0.2">
      <c r="A3" s="48">
        <v>7</v>
      </c>
      <c r="B3" s="49" t="s">
        <v>481</v>
      </c>
      <c r="C3" s="50">
        <v>3.15</v>
      </c>
      <c r="D3" s="50">
        <v>3</v>
      </c>
      <c r="E3" s="50">
        <v>3</v>
      </c>
      <c r="F3" s="52">
        <v>1.0190999999999999</v>
      </c>
      <c r="G3" s="50">
        <v>1.01</v>
      </c>
      <c r="H3" s="50">
        <v>4</v>
      </c>
      <c r="I3" s="51">
        <v>0.32019999999999998</v>
      </c>
    </row>
    <row r="4" spans="1:10" ht="25.5" x14ac:dyDescent="0.2">
      <c r="A4" s="48">
        <v>8</v>
      </c>
      <c r="B4" s="49" t="s">
        <v>482</v>
      </c>
      <c r="C4" s="50">
        <v>3.07</v>
      </c>
      <c r="D4" s="50">
        <v>3</v>
      </c>
      <c r="E4" s="50">
        <v>3</v>
      </c>
      <c r="F4" s="52">
        <v>1</v>
      </c>
      <c r="G4" s="50">
        <v>1</v>
      </c>
      <c r="H4" s="50">
        <v>4</v>
      </c>
      <c r="I4" s="51">
        <v>0.32669999999999999</v>
      </c>
    </row>
    <row r="5" spans="1:10" ht="25.5" x14ac:dyDescent="0.2">
      <c r="A5" s="48">
        <v>9</v>
      </c>
      <c r="B5" s="49" t="s">
        <v>483</v>
      </c>
      <c r="C5" s="50">
        <v>2.74</v>
      </c>
      <c r="D5" s="50">
        <v>3</v>
      </c>
      <c r="E5" s="50">
        <v>3</v>
      </c>
      <c r="F5" s="52">
        <v>1.1436999999999999</v>
      </c>
      <c r="G5" s="50">
        <v>1.07</v>
      </c>
      <c r="H5" s="50">
        <v>4</v>
      </c>
      <c r="I5" s="51">
        <v>0.39090000000000003</v>
      </c>
    </row>
    <row r="6" spans="1:10" ht="25.5" x14ac:dyDescent="0.2">
      <c r="A6" s="48">
        <v>10</v>
      </c>
      <c r="B6" s="49" t="s">
        <v>484</v>
      </c>
      <c r="C6" s="52">
        <v>3.4</v>
      </c>
      <c r="D6" s="50">
        <v>3</v>
      </c>
      <c r="E6" s="50">
        <v>3</v>
      </c>
      <c r="F6" s="52">
        <v>1.0349999999999999</v>
      </c>
      <c r="G6" s="50">
        <v>1.02</v>
      </c>
      <c r="H6" s="50">
        <v>4</v>
      </c>
      <c r="I6" s="51">
        <v>0.29959999999999998</v>
      </c>
    </row>
    <row r="7" spans="1:10" ht="25.5" x14ac:dyDescent="0.2">
      <c r="A7" s="48">
        <v>11</v>
      </c>
      <c r="B7" s="49" t="s">
        <v>486</v>
      </c>
      <c r="C7" s="52">
        <v>3.3</v>
      </c>
      <c r="D7" s="50">
        <v>3</v>
      </c>
      <c r="E7" s="50">
        <v>3</v>
      </c>
      <c r="F7" s="52">
        <v>1.1487000000000001</v>
      </c>
      <c r="G7" s="50">
        <v>1.08</v>
      </c>
      <c r="H7" s="50">
        <v>4</v>
      </c>
      <c r="I7" s="51">
        <v>0.32640000000000002</v>
      </c>
    </row>
    <row r="8" spans="1:10" ht="25.5" x14ac:dyDescent="0.2">
      <c r="A8" s="48">
        <v>12</v>
      </c>
      <c r="B8" s="49" t="s">
        <v>485</v>
      </c>
      <c r="C8" s="50">
        <v>3.12</v>
      </c>
      <c r="D8" s="50">
        <v>3</v>
      </c>
      <c r="E8" s="50">
        <v>3</v>
      </c>
      <c r="F8" s="52">
        <v>0.89459999999999995</v>
      </c>
      <c r="G8" s="50">
        <v>0.95</v>
      </c>
      <c r="H8" s="50">
        <v>4</v>
      </c>
      <c r="I8" s="51">
        <v>0.3029</v>
      </c>
    </row>
    <row r="9" spans="1:10" ht="25.5" x14ac:dyDescent="0.2">
      <c r="A9" s="48">
        <v>13</v>
      </c>
      <c r="B9" s="49" t="s">
        <v>487</v>
      </c>
      <c r="C9" s="50">
        <v>3.27</v>
      </c>
      <c r="D9" s="50">
        <v>3</v>
      </c>
      <c r="E9" s="50">
        <v>3</v>
      </c>
      <c r="F9" s="52">
        <v>1.3509</v>
      </c>
      <c r="G9" s="50">
        <v>1.1599999999999999</v>
      </c>
      <c r="H9" s="50">
        <v>4</v>
      </c>
      <c r="I9" s="51">
        <v>0.35560000000000003</v>
      </c>
    </row>
    <row r="10" spans="1:10" ht="25.5" x14ac:dyDescent="0.2">
      <c r="A10" s="53">
        <v>14</v>
      </c>
      <c r="B10" s="54" t="s">
        <v>488</v>
      </c>
      <c r="C10" s="55">
        <v>3.5</v>
      </c>
      <c r="D10" s="56">
        <v>4</v>
      </c>
      <c r="E10" s="56">
        <v>4</v>
      </c>
      <c r="F10" s="55">
        <v>1.1314</v>
      </c>
      <c r="G10" s="56">
        <v>1.06</v>
      </c>
      <c r="H10" s="56">
        <v>4</v>
      </c>
      <c r="I10" s="57">
        <v>0.30370000000000003</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89E6-A917-4DA9-91DB-C452D6430D66}">
  <dimension ref="A1:G106"/>
  <sheetViews>
    <sheetView zoomScale="96" zoomScaleNormal="96" workbookViewId="0">
      <selection activeCell="E11" sqref="E11"/>
    </sheetView>
  </sheetViews>
  <sheetFormatPr baseColWidth="10" defaultRowHeight="12.75" x14ac:dyDescent="0.2"/>
  <cols>
    <col min="1" max="1" width="12" bestFit="1" customWidth="1"/>
    <col min="2" max="2" width="17" bestFit="1" customWidth="1"/>
    <col min="3" max="3" width="28.28515625" bestFit="1" customWidth="1"/>
    <col min="4" max="4" width="27.28515625" bestFit="1" customWidth="1"/>
    <col min="5" max="5" width="17.85546875" bestFit="1" customWidth="1"/>
    <col min="6" max="6" width="33.5703125" bestFit="1" customWidth="1"/>
    <col min="7" max="7" width="19.42578125" bestFit="1" customWidth="1"/>
  </cols>
  <sheetData>
    <row r="1" spans="1:7" ht="26.25" x14ac:dyDescent="0.4">
      <c r="A1" s="140" t="s">
        <v>495</v>
      </c>
      <c r="B1" s="140"/>
    </row>
    <row r="2" spans="1:7" ht="13.5" thickBot="1" x14ac:dyDescent="0.25">
      <c r="A2" s="24" t="s">
        <v>431</v>
      </c>
      <c r="B2" s="6" t="s">
        <v>489</v>
      </c>
      <c r="C2" s="24" t="s">
        <v>490</v>
      </c>
      <c r="D2" s="6" t="s">
        <v>491</v>
      </c>
      <c r="E2" s="6" t="s">
        <v>492</v>
      </c>
      <c r="F2" s="6" t="s">
        <v>493</v>
      </c>
      <c r="G2" s="18" t="s">
        <v>494</v>
      </c>
    </row>
    <row r="3" spans="1:7" x14ac:dyDescent="0.2">
      <c r="A3" s="25">
        <v>1</v>
      </c>
      <c r="B3" s="6" t="s">
        <v>439</v>
      </c>
      <c r="C3" s="25">
        <v>11</v>
      </c>
      <c r="D3" s="13">
        <f>C3/$C$8</f>
        <v>4.6808510638297871E-2</v>
      </c>
      <c r="E3" s="13">
        <f t="shared" ref="E3:E7" si="0">C3/235*100</f>
        <v>4.6808510638297873</v>
      </c>
      <c r="F3" s="6">
        <v>11</v>
      </c>
      <c r="G3" s="13">
        <f t="shared" ref="G3:G8" si="1">F3/$C$8*100</f>
        <v>4.6808510638297873</v>
      </c>
    </row>
    <row r="4" spans="1:7" x14ac:dyDescent="0.2">
      <c r="A4" s="26">
        <v>2</v>
      </c>
      <c r="B4" s="6" t="s">
        <v>440</v>
      </c>
      <c r="C4" s="26">
        <v>48</v>
      </c>
      <c r="D4" s="13">
        <f>C4/$C$8</f>
        <v>0.20425531914893616</v>
      </c>
      <c r="E4" s="13">
        <f t="shared" si="0"/>
        <v>20.425531914893615</v>
      </c>
      <c r="F4" s="6">
        <f>F3+C4</f>
        <v>59</v>
      </c>
      <c r="G4" s="13">
        <f t="shared" si="1"/>
        <v>25.106382978723403</v>
      </c>
    </row>
    <row r="5" spans="1:7" x14ac:dyDescent="0.2">
      <c r="A5" s="25">
        <v>3</v>
      </c>
      <c r="B5" s="6" t="s">
        <v>441</v>
      </c>
      <c r="C5" s="25">
        <v>116</v>
      </c>
      <c r="D5" s="13">
        <f>C5/$C$8</f>
        <v>0.49361702127659574</v>
      </c>
      <c r="E5" s="13">
        <f t="shared" si="0"/>
        <v>49.361702127659576</v>
      </c>
      <c r="F5" s="6">
        <f>F4+C5</f>
        <v>175</v>
      </c>
      <c r="G5" s="13">
        <f t="shared" si="1"/>
        <v>74.468085106382972</v>
      </c>
    </row>
    <row r="6" spans="1:7" x14ac:dyDescent="0.2">
      <c r="A6" s="26">
        <v>4</v>
      </c>
      <c r="B6" s="6" t="s">
        <v>442</v>
      </c>
      <c r="C6" s="26">
        <v>42</v>
      </c>
      <c r="D6" s="13">
        <f>C6/$C$8</f>
        <v>0.17872340425531916</v>
      </c>
      <c r="E6" s="13">
        <f t="shared" si="0"/>
        <v>17.872340425531917</v>
      </c>
      <c r="F6" s="6">
        <f>F5+C6</f>
        <v>217</v>
      </c>
      <c r="G6" s="13">
        <f t="shared" si="1"/>
        <v>92.340425531914889</v>
      </c>
    </row>
    <row r="7" spans="1:7" x14ac:dyDescent="0.2">
      <c r="A7" s="25">
        <v>5</v>
      </c>
      <c r="B7" s="6" t="s">
        <v>443</v>
      </c>
      <c r="C7" s="25">
        <v>18</v>
      </c>
      <c r="D7" s="13">
        <f>C7/$C$8</f>
        <v>7.6595744680851063E-2</v>
      </c>
      <c r="E7" s="13">
        <f t="shared" si="0"/>
        <v>7.6595744680851059</v>
      </c>
      <c r="F7" s="6">
        <f>F6+C7</f>
        <v>235</v>
      </c>
      <c r="G7" s="13">
        <f t="shared" si="1"/>
        <v>100</v>
      </c>
    </row>
    <row r="8" spans="1:7" x14ac:dyDescent="0.2">
      <c r="A8" s="27" t="s">
        <v>433</v>
      </c>
      <c r="B8" s="28"/>
      <c r="C8" s="27">
        <f xml:space="preserve"> SUM(C3:C7)</f>
        <v>235</v>
      </c>
      <c r="D8" s="33">
        <f>SUM(D3:D7)</f>
        <v>1</v>
      </c>
      <c r="E8" s="33">
        <f>SUM(E3:E7)</f>
        <v>100</v>
      </c>
      <c r="F8" s="28">
        <v>235</v>
      </c>
      <c r="G8" s="28">
        <f t="shared" si="1"/>
        <v>100</v>
      </c>
    </row>
    <row r="13" spans="1:7" ht="26.25" x14ac:dyDescent="0.4">
      <c r="A13" s="140" t="s">
        <v>496</v>
      </c>
      <c r="B13" s="140"/>
    </row>
    <row r="15" spans="1:7" x14ac:dyDescent="0.2">
      <c r="A15" s="6" t="s">
        <v>431</v>
      </c>
      <c r="B15" s="6" t="s">
        <v>489</v>
      </c>
      <c r="C15" s="18" t="s">
        <v>490</v>
      </c>
      <c r="D15" s="13" t="s">
        <v>491</v>
      </c>
      <c r="E15" s="13" t="s">
        <v>492</v>
      </c>
      <c r="F15" s="13" t="s">
        <v>493</v>
      </c>
      <c r="G15" s="13" t="s">
        <v>494</v>
      </c>
    </row>
    <row r="16" spans="1:7" x14ac:dyDescent="0.2">
      <c r="A16" s="6">
        <v>1</v>
      </c>
      <c r="B16" s="6" t="s">
        <v>439</v>
      </c>
      <c r="C16" s="6">
        <v>8</v>
      </c>
      <c r="D16" s="13">
        <f>C16/$C$8</f>
        <v>3.4042553191489362E-2</v>
      </c>
      <c r="E16" s="13">
        <f t="shared" ref="E16:E20" si="2">C16/235*100</f>
        <v>3.4042553191489362</v>
      </c>
      <c r="F16" s="13">
        <v>11</v>
      </c>
      <c r="G16" s="13">
        <f t="shared" ref="G16:G21" si="3">F16/$C$8*100</f>
        <v>4.6808510638297873</v>
      </c>
    </row>
    <row r="17" spans="1:7" x14ac:dyDescent="0.2">
      <c r="A17" s="6">
        <v>2</v>
      </c>
      <c r="B17" s="6" t="s">
        <v>440</v>
      </c>
      <c r="C17" s="6">
        <v>54</v>
      </c>
      <c r="D17" s="13">
        <f>C17/$C$8</f>
        <v>0.22978723404255319</v>
      </c>
      <c r="E17" s="13">
        <f t="shared" si="2"/>
        <v>22.978723404255319</v>
      </c>
      <c r="F17" s="13">
        <f>F16+C17</f>
        <v>65</v>
      </c>
      <c r="G17" s="13">
        <f t="shared" si="3"/>
        <v>27.659574468085108</v>
      </c>
    </row>
    <row r="18" spans="1:7" x14ac:dyDescent="0.2">
      <c r="A18" s="6">
        <v>3</v>
      </c>
      <c r="B18" s="6" t="s">
        <v>441</v>
      </c>
      <c r="C18" s="6">
        <v>93</v>
      </c>
      <c r="D18" s="13">
        <f>C18/$C$8</f>
        <v>0.39574468085106385</v>
      </c>
      <c r="E18" s="13">
        <f t="shared" si="2"/>
        <v>39.574468085106382</v>
      </c>
      <c r="F18" s="13">
        <f>F17+C18</f>
        <v>158</v>
      </c>
      <c r="G18" s="13">
        <f t="shared" si="3"/>
        <v>67.234042553191486</v>
      </c>
    </row>
    <row r="19" spans="1:7" x14ac:dyDescent="0.2">
      <c r="A19" s="6">
        <v>4</v>
      </c>
      <c r="B19" s="6" t="s">
        <v>442</v>
      </c>
      <c r="C19" s="6">
        <v>54</v>
      </c>
      <c r="D19" s="13">
        <f>C19/$C$8</f>
        <v>0.22978723404255319</v>
      </c>
      <c r="E19" s="13">
        <f t="shared" si="2"/>
        <v>22.978723404255319</v>
      </c>
      <c r="F19" s="13">
        <f>F18+C19</f>
        <v>212</v>
      </c>
      <c r="G19" s="13">
        <f t="shared" si="3"/>
        <v>90.212765957446805</v>
      </c>
    </row>
    <row r="20" spans="1:7" x14ac:dyDescent="0.2">
      <c r="A20" s="6">
        <v>5</v>
      </c>
      <c r="B20" s="6" t="s">
        <v>443</v>
      </c>
      <c r="C20" s="6">
        <v>26</v>
      </c>
      <c r="D20" s="13">
        <f>C20/$C$8</f>
        <v>0.11063829787234042</v>
      </c>
      <c r="E20" s="13">
        <f t="shared" si="2"/>
        <v>11.063829787234042</v>
      </c>
      <c r="F20" s="13">
        <f>F19+C20</f>
        <v>238</v>
      </c>
      <c r="G20" s="13">
        <f t="shared" si="3"/>
        <v>101.27659574468085</v>
      </c>
    </row>
    <row r="21" spans="1:7" x14ac:dyDescent="0.2">
      <c r="A21" s="35" t="s">
        <v>433</v>
      </c>
      <c r="B21" s="28"/>
      <c r="C21" s="28">
        <f xml:space="preserve"> SUM(C16:C20)</f>
        <v>235</v>
      </c>
      <c r="D21" s="33">
        <f>SUM(D16:D20)</f>
        <v>1</v>
      </c>
      <c r="E21" s="33">
        <f>SUM(E16:E20)</f>
        <v>100</v>
      </c>
      <c r="F21" s="33">
        <v>235</v>
      </c>
      <c r="G21" s="33">
        <f t="shared" si="3"/>
        <v>100</v>
      </c>
    </row>
    <row r="25" spans="1:7" ht="26.25" x14ac:dyDescent="0.4">
      <c r="A25" s="140" t="s">
        <v>497</v>
      </c>
      <c r="B25" s="140"/>
    </row>
    <row r="28" spans="1:7" x14ac:dyDescent="0.2">
      <c r="A28" s="6" t="s">
        <v>431</v>
      </c>
      <c r="B28" s="6" t="s">
        <v>489</v>
      </c>
      <c r="C28" s="18" t="s">
        <v>490</v>
      </c>
      <c r="D28" s="6" t="s">
        <v>491</v>
      </c>
      <c r="E28" s="6" t="s">
        <v>492</v>
      </c>
      <c r="F28" s="6" t="s">
        <v>493</v>
      </c>
      <c r="G28" s="6" t="s">
        <v>494</v>
      </c>
    </row>
    <row r="29" spans="1:7" x14ac:dyDescent="0.2">
      <c r="A29" s="6">
        <v>1</v>
      </c>
      <c r="B29" s="6" t="s">
        <v>439</v>
      </c>
      <c r="C29" s="6">
        <v>14</v>
      </c>
      <c r="D29" s="13">
        <f>C29/$C$8</f>
        <v>5.9574468085106386E-2</v>
      </c>
      <c r="E29" s="13">
        <f t="shared" ref="E29:E33" si="4">C29/235*100</f>
        <v>5.9574468085106389</v>
      </c>
      <c r="F29" s="13">
        <v>11</v>
      </c>
      <c r="G29" s="13">
        <f t="shared" ref="G29:G34" si="5">F29/$C$8*100</f>
        <v>4.6808510638297873</v>
      </c>
    </row>
    <row r="30" spans="1:7" x14ac:dyDescent="0.2">
      <c r="A30" s="6">
        <v>2</v>
      </c>
      <c r="B30" s="6" t="s">
        <v>440</v>
      </c>
      <c r="C30" s="6">
        <v>46</v>
      </c>
      <c r="D30" s="13">
        <f>C30/$C$8</f>
        <v>0.19574468085106383</v>
      </c>
      <c r="E30" s="13">
        <f t="shared" si="4"/>
        <v>19.574468085106382</v>
      </c>
      <c r="F30" s="13">
        <f>F29+C30</f>
        <v>57</v>
      </c>
      <c r="G30" s="13">
        <f t="shared" si="5"/>
        <v>24.25531914893617</v>
      </c>
    </row>
    <row r="31" spans="1:7" x14ac:dyDescent="0.2">
      <c r="A31" s="6">
        <v>3</v>
      </c>
      <c r="B31" s="6" t="s">
        <v>441</v>
      </c>
      <c r="C31" s="6">
        <v>106</v>
      </c>
      <c r="D31" s="13">
        <f>C31/$C$8</f>
        <v>0.45106382978723403</v>
      </c>
      <c r="E31" s="13">
        <f t="shared" si="4"/>
        <v>45.106382978723403</v>
      </c>
      <c r="F31" s="13">
        <f>F30+C31</f>
        <v>163</v>
      </c>
      <c r="G31" s="13">
        <f t="shared" si="5"/>
        <v>69.361702127659569</v>
      </c>
    </row>
    <row r="32" spans="1:7" x14ac:dyDescent="0.2">
      <c r="A32" s="6">
        <v>4</v>
      </c>
      <c r="B32" s="6" t="s">
        <v>442</v>
      </c>
      <c r="C32" s="6">
        <v>47</v>
      </c>
      <c r="D32" s="13">
        <f>C32/$C$8</f>
        <v>0.2</v>
      </c>
      <c r="E32" s="13">
        <f t="shared" si="4"/>
        <v>20</v>
      </c>
      <c r="F32" s="13">
        <f>F31+C32</f>
        <v>210</v>
      </c>
      <c r="G32" s="13">
        <f t="shared" si="5"/>
        <v>89.361702127659569</v>
      </c>
    </row>
    <row r="33" spans="1:7" x14ac:dyDescent="0.2">
      <c r="A33" s="6">
        <v>5</v>
      </c>
      <c r="B33" s="6" t="s">
        <v>443</v>
      </c>
      <c r="C33" s="6">
        <v>22</v>
      </c>
      <c r="D33" s="13">
        <f>C33/$C$8</f>
        <v>9.3617021276595741E-2</v>
      </c>
      <c r="E33" s="13">
        <f t="shared" si="4"/>
        <v>9.3617021276595747</v>
      </c>
      <c r="F33" s="13">
        <f>F32+C33</f>
        <v>232</v>
      </c>
      <c r="G33" s="13">
        <f t="shared" si="5"/>
        <v>98.723404255319153</v>
      </c>
    </row>
    <row r="34" spans="1:7" x14ac:dyDescent="0.2">
      <c r="A34" s="28" t="s">
        <v>433</v>
      </c>
      <c r="B34" s="28"/>
      <c r="C34" s="28">
        <f xml:space="preserve"> SUM(C29:C33)</f>
        <v>235</v>
      </c>
      <c r="D34" s="28">
        <f>SUM(D29:D33)</f>
        <v>1</v>
      </c>
      <c r="E34" s="28">
        <f>SUM(E29:E33)</f>
        <v>99.999999999999986</v>
      </c>
      <c r="F34" s="28">
        <v>235</v>
      </c>
      <c r="G34" s="28">
        <f t="shared" si="5"/>
        <v>100</v>
      </c>
    </row>
    <row r="39" spans="1:7" ht="26.25" x14ac:dyDescent="0.4">
      <c r="A39" s="140" t="s">
        <v>498</v>
      </c>
      <c r="B39" s="140"/>
    </row>
    <row r="41" spans="1:7" x14ac:dyDescent="0.2">
      <c r="A41" s="6" t="s">
        <v>431</v>
      </c>
      <c r="B41" s="6" t="s">
        <v>489</v>
      </c>
      <c r="C41" s="18" t="s">
        <v>490</v>
      </c>
      <c r="D41" s="6" t="s">
        <v>491</v>
      </c>
      <c r="E41" s="6" t="s">
        <v>492</v>
      </c>
      <c r="F41" s="6" t="s">
        <v>493</v>
      </c>
      <c r="G41" s="6" t="s">
        <v>494</v>
      </c>
    </row>
    <row r="42" spans="1:7" x14ac:dyDescent="0.2">
      <c r="A42" s="6">
        <v>1</v>
      </c>
      <c r="B42" s="6" t="s">
        <v>439</v>
      </c>
      <c r="C42" s="6">
        <v>30</v>
      </c>
      <c r="D42" s="13">
        <f>C42/$C$8</f>
        <v>0.1276595744680851</v>
      </c>
      <c r="E42" s="13">
        <f t="shared" ref="E42:E46" si="6">C42/235*100</f>
        <v>12.76595744680851</v>
      </c>
      <c r="F42" s="6">
        <v>11</v>
      </c>
      <c r="G42" s="13">
        <f t="shared" ref="G42:G47" si="7">F42/$C$8*100</f>
        <v>4.6808510638297873</v>
      </c>
    </row>
    <row r="43" spans="1:7" x14ac:dyDescent="0.2">
      <c r="A43" s="6">
        <v>2</v>
      </c>
      <c r="B43" s="6" t="s">
        <v>440</v>
      </c>
      <c r="C43" s="6">
        <v>67</v>
      </c>
      <c r="D43" s="13">
        <f>C43/$C$8</f>
        <v>0.28510638297872343</v>
      </c>
      <c r="E43" s="13">
        <f t="shared" si="6"/>
        <v>28.510638297872344</v>
      </c>
      <c r="F43" s="6">
        <f>F42+C43</f>
        <v>78</v>
      </c>
      <c r="G43" s="13">
        <f t="shared" si="7"/>
        <v>33.191489361702125</v>
      </c>
    </row>
    <row r="44" spans="1:7" x14ac:dyDescent="0.2">
      <c r="A44" s="6">
        <v>3</v>
      </c>
      <c r="B44" s="6" t="s">
        <v>441</v>
      </c>
      <c r="C44" s="6">
        <v>89</v>
      </c>
      <c r="D44" s="13">
        <f>C44/$C$8</f>
        <v>0.37872340425531914</v>
      </c>
      <c r="E44" s="13">
        <f t="shared" si="6"/>
        <v>37.872340425531917</v>
      </c>
      <c r="F44" s="6">
        <f>F43+C44</f>
        <v>167</v>
      </c>
      <c r="G44" s="13">
        <f t="shared" si="7"/>
        <v>71.063829787234042</v>
      </c>
    </row>
    <row r="45" spans="1:7" x14ac:dyDescent="0.2">
      <c r="A45" s="6">
        <v>4</v>
      </c>
      <c r="B45" s="6" t="s">
        <v>442</v>
      </c>
      <c r="C45" s="6">
        <v>33</v>
      </c>
      <c r="D45" s="13">
        <f>C45/$C$8</f>
        <v>0.14042553191489363</v>
      </c>
      <c r="E45" s="13">
        <f t="shared" si="6"/>
        <v>14.042553191489363</v>
      </c>
      <c r="F45" s="6">
        <f>F44+C45</f>
        <v>200</v>
      </c>
      <c r="G45" s="13">
        <f t="shared" si="7"/>
        <v>85.106382978723403</v>
      </c>
    </row>
    <row r="46" spans="1:7" x14ac:dyDescent="0.2">
      <c r="A46" s="6">
        <v>5</v>
      </c>
      <c r="B46" s="6" t="s">
        <v>443</v>
      </c>
      <c r="C46" s="6">
        <v>16</v>
      </c>
      <c r="D46" s="13">
        <f>C46/$C$8</f>
        <v>6.8085106382978725E-2</v>
      </c>
      <c r="E46" s="13">
        <f t="shared" si="6"/>
        <v>6.8085106382978724</v>
      </c>
      <c r="F46" s="6">
        <f>F45+C46</f>
        <v>216</v>
      </c>
      <c r="G46" s="13">
        <f t="shared" si="7"/>
        <v>91.914893617021278</v>
      </c>
    </row>
    <row r="47" spans="1:7" x14ac:dyDescent="0.2">
      <c r="A47" s="28" t="s">
        <v>433</v>
      </c>
      <c r="B47" s="28"/>
      <c r="C47" s="28">
        <f xml:space="preserve"> SUM(C42:C46)</f>
        <v>235</v>
      </c>
      <c r="D47" s="28">
        <f>SUM(D42:D46)</f>
        <v>1</v>
      </c>
      <c r="E47" s="28">
        <f>SUM(E42:E46)</f>
        <v>100.00000000000001</v>
      </c>
      <c r="F47" s="28">
        <v>235</v>
      </c>
      <c r="G47" s="28">
        <f t="shared" si="7"/>
        <v>100</v>
      </c>
    </row>
    <row r="51" spans="1:7" ht="26.25" x14ac:dyDescent="0.4">
      <c r="A51" s="140" t="s">
        <v>499</v>
      </c>
      <c r="B51" s="140"/>
    </row>
    <row r="53" spans="1:7" ht="13.5" thickBot="1" x14ac:dyDescent="0.25">
      <c r="A53" s="36" t="s">
        <v>431</v>
      </c>
      <c r="B53" s="36" t="s">
        <v>489</v>
      </c>
      <c r="C53" s="34" t="s">
        <v>490</v>
      </c>
      <c r="D53" s="36" t="s">
        <v>491</v>
      </c>
      <c r="E53" s="36" t="s">
        <v>492</v>
      </c>
      <c r="F53" s="36" t="s">
        <v>493</v>
      </c>
      <c r="G53" s="36" t="s">
        <v>494</v>
      </c>
    </row>
    <row r="54" spans="1:7" x14ac:dyDescent="0.2">
      <c r="A54" s="37">
        <v>1</v>
      </c>
      <c r="B54" s="37" t="s">
        <v>439</v>
      </c>
      <c r="C54" s="29">
        <v>8</v>
      </c>
      <c r="D54" s="41">
        <f>C54/$C$8</f>
        <v>3.4042553191489362E-2</v>
      </c>
      <c r="E54" s="41">
        <f t="shared" ref="E54:E58" si="8">C54/235*100</f>
        <v>3.4042553191489362</v>
      </c>
      <c r="F54" s="37">
        <v>11</v>
      </c>
      <c r="G54" s="41">
        <f t="shared" ref="G54:G59" si="9">F54/$C$8*100</f>
        <v>4.6808510638297873</v>
      </c>
    </row>
    <row r="55" spans="1:7" x14ac:dyDescent="0.2">
      <c r="A55" s="38">
        <v>2</v>
      </c>
      <c r="B55" s="38" t="s">
        <v>440</v>
      </c>
      <c r="C55" s="30">
        <v>32</v>
      </c>
      <c r="D55" s="42">
        <f>C55/$C$8</f>
        <v>0.13617021276595745</v>
      </c>
      <c r="E55" s="42">
        <f t="shared" si="8"/>
        <v>13.617021276595745</v>
      </c>
      <c r="F55" s="38">
        <f>F54+C55</f>
        <v>43</v>
      </c>
      <c r="G55" s="42">
        <f t="shared" si="9"/>
        <v>18.297872340425531</v>
      </c>
    </row>
    <row r="56" spans="1:7" x14ac:dyDescent="0.2">
      <c r="A56" s="37">
        <v>3</v>
      </c>
      <c r="B56" s="37" t="s">
        <v>441</v>
      </c>
      <c r="C56" s="29">
        <v>91</v>
      </c>
      <c r="D56" s="41">
        <f>C56/$C$8</f>
        <v>0.38723404255319149</v>
      </c>
      <c r="E56" s="41">
        <f t="shared" si="8"/>
        <v>38.723404255319153</v>
      </c>
      <c r="F56" s="37">
        <f>F55+C56</f>
        <v>134</v>
      </c>
      <c r="G56" s="41">
        <f t="shared" si="9"/>
        <v>57.021276595744688</v>
      </c>
    </row>
    <row r="57" spans="1:7" x14ac:dyDescent="0.2">
      <c r="A57" s="38">
        <v>4</v>
      </c>
      <c r="B57" s="38" t="s">
        <v>442</v>
      </c>
      <c r="C57" s="30">
        <v>67</v>
      </c>
      <c r="D57" s="42">
        <f>C57/$C$8</f>
        <v>0.28510638297872343</v>
      </c>
      <c r="E57" s="42">
        <f t="shared" si="8"/>
        <v>28.510638297872344</v>
      </c>
      <c r="F57" s="38">
        <f>F56+C57</f>
        <v>201</v>
      </c>
      <c r="G57" s="42">
        <f t="shared" si="9"/>
        <v>85.531914893617028</v>
      </c>
    </row>
    <row r="58" spans="1:7" x14ac:dyDescent="0.2">
      <c r="A58" s="37">
        <v>5</v>
      </c>
      <c r="B58" s="37" t="s">
        <v>443</v>
      </c>
      <c r="C58" s="29">
        <v>37</v>
      </c>
      <c r="D58" s="41">
        <f>C58/$C$8</f>
        <v>0.1574468085106383</v>
      </c>
      <c r="E58" s="41">
        <f t="shared" si="8"/>
        <v>15.74468085106383</v>
      </c>
      <c r="F58" s="37">
        <f>F57+C58</f>
        <v>238</v>
      </c>
      <c r="G58" s="41">
        <f t="shared" si="9"/>
        <v>101.27659574468085</v>
      </c>
    </row>
    <row r="59" spans="1:7" x14ac:dyDescent="0.2">
      <c r="A59" s="39" t="s">
        <v>433</v>
      </c>
      <c r="B59" s="39"/>
      <c r="C59" s="40">
        <f xml:space="preserve"> SUM(C54:C58)</f>
        <v>235</v>
      </c>
      <c r="D59" s="39">
        <f>SUM(D54:D58)</f>
        <v>1</v>
      </c>
      <c r="E59" s="39">
        <f>SUM(E54:E58)</f>
        <v>100.00000000000001</v>
      </c>
      <c r="F59" s="39">
        <v>235</v>
      </c>
      <c r="G59" s="39">
        <f t="shared" si="9"/>
        <v>100</v>
      </c>
    </row>
    <row r="65" spans="1:7" ht="26.25" x14ac:dyDescent="0.4">
      <c r="A65" s="140" t="s">
        <v>475</v>
      </c>
      <c r="B65" s="140"/>
    </row>
    <row r="67" spans="1:7" ht="13.5" thickBot="1" x14ac:dyDescent="0.25">
      <c r="A67" s="36" t="s">
        <v>431</v>
      </c>
      <c r="B67" s="36" t="s">
        <v>489</v>
      </c>
      <c r="C67" s="34" t="s">
        <v>490</v>
      </c>
      <c r="D67" s="36" t="s">
        <v>491</v>
      </c>
      <c r="E67" s="36" t="s">
        <v>492</v>
      </c>
      <c r="F67" s="36" t="s">
        <v>493</v>
      </c>
      <c r="G67" s="36" t="s">
        <v>494</v>
      </c>
    </row>
    <row r="68" spans="1:7" x14ac:dyDescent="0.2">
      <c r="A68" s="37">
        <v>1</v>
      </c>
      <c r="B68" s="37" t="s">
        <v>439</v>
      </c>
      <c r="C68" s="29">
        <v>11</v>
      </c>
      <c r="D68" s="41">
        <f>C68/$C$8</f>
        <v>4.6808510638297871E-2</v>
      </c>
      <c r="E68" s="41">
        <f t="shared" ref="E68:E72" si="10">C68/235*100</f>
        <v>4.6808510638297873</v>
      </c>
      <c r="F68" s="37">
        <v>11</v>
      </c>
      <c r="G68" s="41">
        <f t="shared" ref="G68:G73" si="11">F68/$C$8*100</f>
        <v>4.6808510638297873</v>
      </c>
    </row>
    <row r="69" spans="1:7" x14ac:dyDescent="0.2">
      <c r="A69" s="38">
        <v>2</v>
      </c>
      <c r="B69" s="38" t="s">
        <v>440</v>
      </c>
      <c r="C69" s="30">
        <v>41</v>
      </c>
      <c r="D69" s="42">
        <f>C69/$C$8</f>
        <v>0.17446808510638298</v>
      </c>
      <c r="E69" s="42">
        <f t="shared" si="10"/>
        <v>17.446808510638299</v>
      </c>
      <c r="F69" s="38">
        <f>F68+C69</f>
        <v>52</v>
      </c>
      <c r="G69" s="42">
        <f t="shared" si="11"/>
        <v>22.127659574468083</v>
      </c>
    </row>
    <row r="70" spans="1:7" x14ac:dyDescent="0.2">
      <c r="A70" s="37">
        <v>3</v>
      </c>
      <c r="B70" s="37" t="s">
        <v>441</v>
      </c>
      <c r="C70" s="29">
        <v>87</v>
      </c>
      <c r="D70" s="41">
        <f>C70/$C$8</f>
        <v>0.37021276595744679</v>
      </c>
      <c r="E70" s="41">
        <f t="shared" si="10"/>
        <v>37.021276595744681</v>
      </c>
      <c r="F70" s="37">
        <f>F69+C70</f>
        <v>139</v>
      </c>
      <c r="G70" s="41">
        <f t="shared" si="11"/>
        <v>59.148936170212764</v>
      </c>
    </row>
    <row r="71" spans="1:7" x14ac:dyDescent="0.2">
      <c r="A71" s="38">
        <v>4</v>
      </c>
      <c r="B71" s="38" t="s">
        <v>442</v>
      </c>
      <c r="C71" s="30">
        <v>59</v>
      </c>
      <c r="D71" s="42">
        <f>C71/$C$8</f>
        <v>0.25106382978723402</v>
      </c>
      <c r="E71" s="42">
        <f t="shared" si="10"/>
        <v>25.106382978723403</v>
      </c>
      <c r="F71" s="38">
        <f>F70+C71</f>
        <v>198</v>
      </c>
      <c r="G71" s="42">
        <f t="shared" si="11"/>
        <v>84.255319148936167</v>
      </c>
    </row>
    <row r="72" spans="1:7" x14ac:dyDescent="0.2">
      <c r="A72" s="37">
        <v>5</v>
      </c>
      <c r="B72" s="37" t="s">
        <v>443</v>
      </c>
      <c r="C72" s="29">
        <v>37</v>
      </c>
      <c r="D72" s="41">
        <f>C72/$C$8</f>
        <v>0.1574468085106383</v>
      </c>
      <c r="E72" s="41">
        <f t="shared" si="10"/>
        <v>15.74468085106383</v>
      </c>
      <c r="F72" s="37">
        <f>F71+C72</f>
        <v>235</v>
      </c>
      <c r="G72" s="41">
        <f t="shared" si="11"/>
        <v>100</v>
      </c>
    </row>
    <row r="73" spans="1:7" x14ac:dyDescent="0.2">
      <c r="A73" s="39" t="s">
        <v>433</v>
      </c>
      <c r="B73" s="39"/>
      <c r="C73" s="39">
        <f xml:space="preserve"> SUM(C68:C72)</f>
        <v>235</v>
      </c>
      <c r="D73" s="39">
        <f>SUM(D68:D72)</f>
        <v>0.99999999999999989</v>
      </c>
      <c r="E73" s="39">
        <f>SUM(E68:E72)</f>
        <v>100</v>
      </c>
      <c r="F73" s="39">
        <v>235</v>
      </c>
      <c r="G73" s="39">
        <f t="shared" si="11"/>
        <v>100</v>
      </c>
    </row>
    <row r="76" spans="1:7" ht="26.25" x14ac:dyDescent="0.4">
      <c r="A76" s="140" t="s">
        <v>500</v>
      </c>
      <c r="B76" s="140"/>
    </row>
    <row r="78" spans="1:7" ht="13.5" thickBot="1" x14ac:dyDescent="0.25">
      <c r="A78" s="36" t="s">
        <v>431</v>
      </c>
      <c r="B78" s="36" t="s">
        <v>489</v>
      </c>
      <c r="C78" s="34" t="s">
        <v>490</v>
      </c>
      <c r="D78" s="36" t="s">
        <v>491</v>
      </c>
      <c r="E78" s="36" t="s">
        <v>492</v>
      </c>
      <c r="F78" s="36" t="s">
        <v>493</v>
      </c>
      <c r="G78" s="36" t="s">
        <v>494</v>
      </c>
    </row>
    <row r="79" spans="1:7" x14ac:dyDescent="0.2">
      <c r="A79" s="37">
        <v>1</v>
      </c>
      <c r="B79" s="37" t="s">
        <v>439</v>
      </c>
      <c r="C79" s="29">
        <v>8</v>
      </c>
      <c r="D79" s="41">
        <f>C79/$C$8</f>
        <v>3.4042553191489362E-2</v>
      </c>
      <c r="E79" s="41">
        <f t="shared" ref="E79:E83" si="12">C79/235*100</f>
        <v>3.4042553191489362</v>
      </c>
      <c r="F79" s="43">
        <v>11</v>
      </c>
      <c r="G79" s="41">
        <f t="shared" ref="G79:G84" si="13">F79/$C$8*100</f>
        <v>4.6808510638297873</v>
      </c>
    </row>
    <row r="80" spans="1:7" x14ac:dyDescent="0.2">
      <c r="A80" s="38">
        <v>2</v>
      </c>
      <c r="B80" s="38" t="s">
        <v>440</v>
      </c>
      <c r="C80" s="30">
        <v>52</v>
      </c>
      <c r="D80" s="42">
        <f>C80/$C$8</f>
        <v>0.22127659574468084</v>
      </c>
      <c r="E80" s="42">
        <f t="shared" si="12"/>
        <v>22.127659574468083</v>
      </c>
      <c r="F80" s="44">
        <f>F79+C80</f>
        <v>63</v>
      </c>
      <c r="G80" s="42">
        <f t="shared" si="13"/>
        <v>26.808510638297872</v>
      </c>
    </row>
    <row r="81" spans="1:7" x14ac:dyDescent="0.2">
      <c r="A81" s="37">
        <v>3</v>
      </c>
      <c r="B81" s="37" t="s">
        <v>441</v>
      </c>
      <c r="C81" s="29">
        <v>94</v>
      </c>
      <c r="D81" s="41">
        <f>C81/$C$8</f>
        <v>0.4</v>
      </c>
      <c r="E81" s="41">
        <f t="shared" si="12"/>
        <v>40</v>
      </c>
      <c r="F81" s="43">
        <f>F80+C81</f>
        <v>157</v>
      </c>
      <c r="G81" s="41">
        <f t="shared" si="13"/>
        <v>66.808510638297875</v>
      </c>
    </row>
    <row r="82" spans="1:7" x14ac:dyDescent="0.2">
      <c r="A82" s="38">
        <v>4</v>
      </c>
      <c r="B82" s="38" t="s">
        <v>442</v>
      </c>
      <c r="C82" s="30">
        <v>65</v>
      </c>
      <c r="D82" s="42">
        <f>C82/$C$8</f>
        <v>0.27659574468085107</v>
      </c>
      <c r="E82" s="42">
        <f t="shared" si="12"/>
        <v>27.659574468085108</v>
      </c>
      <c r="F82" s="44">
        <f>F81+C82</f>
        <v>222</v>
      </c>
      <c r="G82" s="42">
        <f t="shared" si="13"/>
        <v>94.468085106382986</v>
      </c>
    </row>
    <row r="83" spans="1:7" x14ac:dyDescent="0.2">
      <c r="A83" s="37">
        <v>5</v>
      </c>
      <c r="B83" s="37" t="s">
        <v>443</v>
      </c>
      <c r="C83" s="29">
        <v>16</v>
      </c>
      <c r="D83" s="41">
        <f>C83/$C$8</f>
        <v>6.8085106382978725E-2</v>
      </c>
      <c r="E83" s="41">
        <f t="shared" si="12"/>
        <v>6.8085106382978724</v>
      </c>
      <c r="F83" s="43">
        <f>F82+C83</f>
        <v>238</v>
      </c>
      <c r="G83" s="41">
        <f t="shared" si="13"/>
        <v>101.27659574468085</v>
      </c>
    </row>
    <row r="84" spans="1:7" x14ac:dyDescent="0.2">
      <c r="A84" s="39" t="s">
        <v>433</v>
      </c>
      <c r="B84" s="39"/>
      <c r="C84" s="40">
        <f xml:space="preserve"> SUM(C79:C83)</f>
        <v>235</v>
      </c>
      <c r="D84" s="39">
        <f>SUM(D79:D83)</f>
        <v>1.0000000000000002</v>
      </c>
      <c r="E84" s="39">
        <f>SUM(E79:E83)</f>
        <v>100.00000000000001</v>
      </c>
      <c r="F84" s="39">
        <v>235</v>
      </c>
      <c r="G84" s="39">
        <f t="shared" si="13"/>
        <v>100</v>
      </c>
    </row>
    <row r="87" spans="1:7" ht="26.25" x14ac:dyDescent="0.4">
      <c r="A87" s="140" t="s">
        <v>501</v>
      </c>
      <c r="B87" s="140"/>
    </row>
    <row r="89" spans="1:7" ht="13.5" thickBot="1" x14ac:dyDescent="0.25">
      <c r="A89" s="36" t="s">
        <v>431</v>
      </c>
      <c r="B89" s="36" t="s">
        <v>489</v>
      </c>
      <c r="C89" s="34" t="s">
        <v>490</v>
      </c>
      <c r="D89" s="36" t="s">
        <v>491</v>
      </c>
      <c r="E89" s="36" t="s">
        <v>492</v>
      </c>
      <c r="F89" s="36" t="s">
        <v>493</v>
      </c>
      <c r="G89" s="36" t="s">
        <v>494</v>
      </c>
    </row>
    <row r="90" spans="1:7" x14ac:dyDescent="0.2">
      <c r="A90" s="37">
        <v>1</v>
      </c>
      <c r="B90" s="37" t="s">
        <v>439</v>
      </c>
      <c r="C90" s="29">
        <v>20</v>
      </c>
      <c r="D90" s="41">
        <f>C90/$C$8</f>
        <v>8.5106382978723402E-2</v>
      </c>
      <c r="E90" s="41">
        <f t="shared" ref="E90:E94" si="14">C90/235*100</f>
        <v>8.5106382978723403</v>
      </c>
      <c r="F90" s="43">
        <v>11</v>
      </c>
      <c r="G90" s="41">
        <f t="shared" ref="G90:G95" si="15">F90/$C$8*100</f>
        <v>4.6808510638297873</v>
      </c>
    </row>
    <row r="91" spans="1:7" x14ac:dyDescent="0.2">
      <c r="A91" s="38">
        <v>2</v>
      </c>
      <c r="B91" s="38" t="s">
        <v>440</v>
      </c>
      <c r="C91" s="30">
        <v>38</v>
      </c>
      <c r="D91" s="42">
        <f>C91/$C$8</f>
        <v>0.16170212765957448</v>
      </c>
      <c r="E91" s="42">
        <f t="shared" si="14"/>
        <v>16.170212765957448</v>
      </c>
      <c r="F91" s="44">
        <f>F90+C91</f>
        <v>49</v>
      </c>
      <c r="G91" s="42">
        <f t="shared" si="15"/>
        <v>20.851063829787233</v>
      </c>
    </row>
    <row r="92" spans="1:7" x14ac:dyDescent="0.2">
      <c r="A92" s="37">
        <v>3</v>
      </c>
      <c r="B92" s="37" t="s">
        <v>441</v>
      </c>
      <c r="C92" s="29">
        <v>73</v>
      </c>
      <c r="D92" s="41">
        <f>C92/$C$8</f>
        <v>0.31063829787234043</v>
      </c>
      <c r="E92" s="41">
        <f t="shared" si="14"/>
        <v>31.063829787234042</v>
      </c>
      <c r="F92" s="43">
        <f>F91+C92</f>
        <v>122</v>
      </c>
      <c r="G92" s="41">
        <f t="shared" si="15"/>
        <v>51.914893617021271</v>
      </c>
    </row>
    <row r="93" spans="1:7" x14ac:dyDescent="0.2">
      <c r="A93" s="38">
        <v>4</v>
      </c>
      <c r="B93" s="38" t="s">
        <v>442</v>
      </c>
      <c r="C93" s="30">
        <v>67</v>
      </c>
      <c r="D93" s="42">
        <f>C93/$C$8</f>
        <v>0.28510638297872343</v>
      </c>
      <c r="E93" s="42">
        <f t="shared" si="14"/>
        <v>28.510638297872344</v>
      </c>
      <c r="F93" s="44">
        <f>F92+C93</f>
        <v>189</v>
      </c>
      <c r="G93" s="42">
        <f t="shared" si="15"/>
        <v>80.425531914893625</v>
      </c>
    </row>
    <row r="94" spans="1:7" x14ac:dyDescent="0.2">
      <c r="A94" s="37">
        <v>5</v>
      </c>
      <c r="B94" s="37" t="s">
        <v>443</v>
      </c>
      <c r="C94" s="29">
        <v>37</v>
      </c>
      <c r="D94" s="41">
        <f>C94/$C$8</f>
        <v>0.1574468085106383</v>
      </c>
      <c r="E94" s="41">
        <f t="shared" si="14"/>
        <v>15.74468085106383</v>
      </c>
      <c r="F94" s="43">
        <f>F93+C94</f>
        <v>226</v>
      </c>
      <c r="G94" s="41">
        <f t="shared" si="15"/>
        <v>96.170212765957444</v>
      </c>
    </row>
    <row r="95" spans="1:7" x14ac:dyDescent="0.2">
      <c r="A95" s="39" t="s">
        <v>433</v>
      </c>
      <c r="B95" s="39"/>
      <c r="C95" s="40">
        <f xml:space="preserve"> SUM(C90:C94)</f>
        <v>235</v>
      </c>
      <c r="D95" s="39">
        <f>SUM(D90:D94)</f>
        <v>1</v>
      </c>
      <c r="E95" s="39">
        <f>SUM(E90:E94)</f>
        <v>100.00000000000001</v>
      </c>
      <c r="F95" s="39">
        <v>235</v>
      </c>
      <c r="G95" s="39">
        <f t="shared" si="15"/>
        <v>100</v>
      </c>
    </row>
    <row r="98" spans="1:7" ht="26.25" x14ac:dyDescent="0.4">
      <c r="A98" s="140" t="s">
        <v>502</v>
      </c>
      <c r="B98" s="140"/>
    </row>
    <row r="100" spans="1:7" ht="13.5" thickBot="1" x14ac:dyDescent="0.25">
      <c r="A100" s="36" t="s">
        <v>431</v>
      </c>
      <c r="B100" s="36" t="s">
        <v>489</v>
      </c>
      <c r="C100" s="34" t="s">
        <v>490</v>
      </c>
      <c r="D100" s="36" t="s">
        <v>491</v>
      </c>
      <c r="E100" s="36" t="s">
        <v>492</v>
      </c>
      <c r="F100" s="36" t="s">
        <v>493</v>
      </c>
      <c r="G100" s="36" t="s">
        <v>494</v>
      </c>
    </row>
    <row r="101" spans="1:7" x14ac:dyDescent="0.2">
      <c r="A101" s="37">
        <v>1</v>
      </c>
      <c r="B101" s="37" t="s">
        <v>439</v>
      </c>
      <c r="C101" s="29">
        <v>6</v>
      </c>
      <c r="D101" s="41">
        <f>C101/$C$8</f>
        <v>2.553191489361702E-2</v>
      </c>
      <c r="E101" s="41">
        <f t="shared" ref="E101:E105" si="16">C101/235*100</f>
        <v>2.5531914893617018</v>
      </c>
      <c r="F101" s="43">
        <v>11</v>
      </c>
      <c r="G101" s="41">
        <f t="shared" ref="G101:G106" si="17">F101/$C$8*100</f>
        <v>4.6808510638297873</v>
      </c>
    </row>
    <row r="102" spans="1:7" x14ac:dyDescent="0.2">
      <c r="A102" s="38">
        <v>2</v>
      </c>
      <c r="B102" s="38" t="s">
        <v>440</v>
      </c>
      <c r="C102" s="30">
        <v>38</v>
      </c>
      <c r="D102" s="42">
        <f>C102/$C$8</f>
        <v>0.16170212765957448</v>
      </c>
      <c r="E102" s="42">
        <f t="shared" si="16"/>
        <v>16.170212765957448</v>
      </c>
      <c r="F102" s="44">
        <f>F101+C102</f>
        <v>49</v>
      </c>
      <c r="G102" s="42">
        <f t="shared" si="17"/>
        <v>20.851063829787233</v>
      </c>
    </row>
    <row r="103" spans="1:7" x14ac:dyDescent="0.2">
      <c r="A103" s="37">
        <v>3</v>
      </c>
      <c r="B103" s="37" t="s">
        <v>441</v>
      </c>
      <c r="C103" s="29">
        <v>70</v>
      </c>
      <c r="D103" s="41">
        <f>C103/$C$8</f>
        <v>0.2978723404255319</v>
      </c>
      <c r="E103" s="41">
        <f t="shared" si="16"/>
        <v>29.787234042553191</v>
      </c>
      <c r="F103" s="43">
        <f>F102+C103</f>
        <v>119</v>
      </c>
      <c r="G103" s="41">
        <f t="shared" si="17"/>
        <v>50.638297872340424</v>
      </c>
    </row>
    <row r="104" spans="1:7" x14ac:dyDescent="0.2">
      <c r="A104" s="38">
        <v>4</v>
      </c>
      <c r="B104" s="38" t="s">
        <v>442</v>
      </c>
      <c r="C104" s="30">
        <v>74</v>
      </c>
      <c r="D104" s="42">
        <f>C104/$C$8</f>
        <v>0.31489361702127661</v>
      </c>
      <c r="E104" s="42">
        <f t="shared" si="16"/>
        <v>31.48936170212766</v>
      </c>
      <c r="F104" s="44">
        <f>F103+C104</f>
        <v>193</v>
      </c>
      <c r="G104" s="42">
        <f t="shared" si="17"/>
        <v>82.127659574468083</v>
      </c>
    </row>
    <row r="105" spans="1:7" x14ac:dyDescent="0.2">
      <c r="A105" s="37">
        <v>5</v>
      </c>
      <c r="B105" s="37" t="s">
        <v>443</v>
      </c>
      <c r="C105" s="29">
        <v>47</v>
      </c>
      <c r="D105" s="41">
        <f>C105/$C$8</f>
        <v>0.2</v>
      </c>
      <c r="E105" s="41">
        <f t="shared" si="16"/>
        <v>20</v>
      </c>
      <c r="F105" s="43">
        <f>F104+C105</f>
        <v>240</v>
      </c>
      <c r="G105" s="41">
        <f t="shared" si="17"/>
        <v>102.12765957446808</v>
      </c>
    </row>
    <row r="106" spans="1:7" x14ac:dyDescent="0.2">
      <c r="A106" s="39" t="s">
        <v>433</v>
      </c>
      <c r="B106" s="39"/>
      <c r="C106" s="40">
        <f xml:space="preserve"> SUM(C101:C105)</f>
        <v>235</v>
      </c>
      <c r="D106" s="39">
        <f>SUM(D101:D105)</f>
        <v>1</v>
      </c>
      <c r="E106" s="39">
        <f>SUM(E101:E105)</f>
        <v>100</v>
      </c>
      <c r="F106" s="39">
        <v>235</v>
      </c>
      <c r="G106" s="39">
        <f t="shared" si="17"/>
        <v>100</v>
      </c>
    </row>
  </sheetData>
  <mergeCells count="9">
    <mergeCell ref="A76:B76"/>
    <mergeCell ref="A87:B87"/>
    <mergeCell ref="A98:B98"/>
    <mergeCell ref="A1:B1"/>
    <mergeCell ref="A13:B13"/>
    <mergeCell ref="A25:B25"/>
    <mergeCell ref="A39:B39"/>
    <mergeCell ref="A51:B51"/>
    <mergeCell ref="A65:B65"/>
  </mergeCells>
  <pageMargins left="0.7" right="0.7" top="0.75" bottom="0.75" header="0.3" footer="0.3"/>
  <drawing r:id="rId1"/>
  <tableParts count="9">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Hoja10</vt:lpstr>
      <vt:lpstr>Respuestas de formulario 1</vt:lpstr>
      <vt:lpstr>HIPOTESIS 1</vt:lpstr>
      <vt:lpstr>REACTIVO 1</vt:lpstr>
      <vt:lpstr>REACTIVO 2</vt:lpstr>
      <vt:lpstr>REACTIVO 3</vt:lpstr>
      <vt:lpstr>REACTIVO 4</vt:lpstr>
      <vt:lpstr>REACTIVO 5</vt:lpstr>
      <vt:lpstr>REACTIVO 6</vt:lpstr>
      <vt:lpstr>REACTIVO 7</vt:lpstr>
      <vt:lpstr>REACTIVO 8</vt:lpstr>
      <vt:lpstr>REACTIVO 9</vt:lpstr>
      <vt:lpstr>REACTIVO 10</vt:lpstr>
      <vt:lpstr>REACTIVO 11</vt:lpstr>
      <vt:lpstr>REACTIVO 12</vt:lpstr>
      <vt:lpstr>REACTIVO 13</vt:lpstr>
      <vt:lpstr>REACTIVO 14</vt:lpstr>
      <vt:lpstr>REACTIVO 15</vt:lpstr>
      <vt:lpstr>REACTIVO 16</vt:lpstr>
      <vt:lpstr>TABLA 1</vt:lpstr>
      <vt:lpstr>FRECUENCIA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GUADALUPE LOPEZ</cp:lastModifiedBy>
  <dcterms:modified xsi:type="dcterms:W3CDTF">2026-06-10T02:39:09Z</dcterms:modified>
</cp:coreProperties>
</file>